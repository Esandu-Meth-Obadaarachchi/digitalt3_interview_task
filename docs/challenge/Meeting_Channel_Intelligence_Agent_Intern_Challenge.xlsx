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Brief" sheetId="1" r:id="rId4"/>
    <sheet state="visible" name="02 Task Catalog" sheetId="2" r:id="rId5"/>
    <sheet state="visible" name="03 Ground Rules" sheetId="3" r:id="rId6"/>
    <sheet state="visible" name="04 Open Source Toolkit" sheetId="4" r:id="rId7"/>
    <sheet state="visible" name="05 Adapter Contract" sheetId="5" r:id="rId8"/>
    <sheet state="visible" name="06 Seven Day Plan" sheetId="6" r:id="rId9"/>
    <sheet state="visible" name="07 Golden Test Cases" sheetId="7" r:id="rId10"/>
    <sheet state="visible" name="08 Evaluation Rubric" sheetId="8" r:id="rId11"/>
    <sheet state="visible" name="09 Submission Checklist" sheetId="9" r:id="rId12"/>
    <sheet state="visible" name="10 Anti-Patterns" sheetId="10" r:id="rId13"/>
  </sheets>
  <definedNames/>
  <calcPr/>
  <extLst>
    <ext uri="GoogleSheetsCustomDataVersion2">
      <go:sheetsCustomData xmlns:go="http://customooxmlschemas.google.com/" r:id="rId14" roundtripDataChecksum="vKtfhk/8mJoFaIxD9igwk/sbRYv6pILYczj65q4j/D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Enter a whole number 0-5 using the score bands below. Leave blank if not yet assessed; blank rows are excluded from the weighted total.
======</t>
      </text>
    </comment>
  </commentList>
</comments>
</file>

<file path=xl/sharedStrings.xml><?xml version="1.0" encoding="utf-8"?>
<sst xmlns="http://schemas.openxmlformats.org/spreadsheetml/2006/main" count="511" uniqueCount="477">
  <si>
    <t>Intern Challenge — Meeting &amp; Channel Intelligence Agent</t>
  </si>
  <si>
    <t>Meeting Agent — Task Catalog</t>
  </si>
  <si>
    <t>Build-and-demo brief for intern selection. Tool-agnostic and buildable end to end with open-source software and a free or local model. 7 days from brief to demo.</t>
  </si>
  <si>
    <t>One row per capability. MUST rows are required for a passing submission. SHOULD rows separate a good submission from a strong one. COULD rows are stretch — attempt them only when every MUST is genuinely complete. Cutting a whole capability and saying so in the README is respected; faking one is not.</t>
  </si>
  <si>
    <t>WHAT THIS DOCUMENT IS</t>
  </si>
  <si>
    <t>Autonomy levels used in the Task Catalog — L1 Suggests: only answers when asked.  |  L2 Drafts, human approves: produces output that cannot take effect until a human approves it.  |  L3 Acts, human reviews: acts on its own but the result is posted for review and is reversible.  |  L4 Acts autonomously, human informed: runs unattended; only exceptions are surfaced. Anything that writes to an external system is capped at L2 in this exercise, regardless of level shown.</t>
  </si>
  <si>
    <t>Ground Rules</t>
  </si>
  <si>
    <t>This is a build brief for an intern selection exercise, not a product specification. It describes an agent in terms of behaviour and outcomes rather than tools, so that any candidate can build it with free and open-source software on their own machine within one week. Read every tab before writing code — the Evaluation Rubric and Golden Test Cases tabs tell you exactly what will be scored, and the Anti-Patterns tab lists the mistakes that have sunk previous submissions.</t>
  </si>
  <si>
    <t>Open-Source Toolkit — Options, Not Requirements</t>
  </si>
  <si>
    <t>ID</t>
  </si>
  <si>
    <t>Identical across all three agent briefs so that candidates are assessed on comparable terms.</t>
  </si>
  <si>
    <t>AGENT BRIEF</t>
  </si>
  <si>
    <t>Capability</t>
  </si>
  <si>
    <t>Priority</t>
  </si>
  <si>
    <t>Trigger</t>
  </si>
  <si>
    <t>Autonomy</t>
  </si>
  <si>
    <t>RULES OF THE EXERCISE</t>
  </si>
  <si>
    <t>Every layer below can be satisfied with free and open-source software. These are suggestions to remove decision paralysis, not a mandated stack. Substitute freely and justify briefly in the README. No marks are awarded or deducted for which option you pick.</t>
  </si>
  <si>
    <t>Inputs</t>
  </si>
  <si>
    <t>Outputs</t>
  </si>
  <si>
    <t>One-line mission</t>
  </si>
  <si>
    <t>Human checkpoint</t>
  </si>
  <si>
    <t>How we will test it</t>
  </si>
  <si>
    <t>M1</t>
  </si>
  <si>
    <t>Layer</t>
  </si>
  <si>
    <t>Time box</t>
  </si>
  <si>
    <t>Turn conversations into trustworthy, traceable, actionable records — so that nothing agreed in a meeting or a chat channel is lost, and nothing is invented.</t>
  </si>
  <si>
    <t>Purpose</t>
  </si>
  <si>
    <t>Open-source or free options</t>
  </si>
  <si>
    <t>Ingest and normalise a source</t>
  </si>
  <si>
    <t>7 calendar days from brief to demo. Scope is deliberately larger than 7 days of work — we are assessing judgement about what to build first, not whether you can finish everything. A smaller build done properly beats a wider build done shallowly.</t>
  </si>
  <si>
    <t>Notes and constraints</t>
  </si>
  <si>
    <t>Language / runtime</t>
  </si>
  <si>
    <t>Agent logic and services</t>
  </si>
  <si>
    <t>MUST</t>
  </si>
  <si>
    <t>The problem</t>
  </si>
  <si>
    <t>Python 3.11+ · Node.js 20+ · Go — any language you are fluent in</t>
  </si>
  <si>
    <t>Cost</t>
  </si>
  <si>
    <t>Decisions and commitments are made in meetings and chat threads and then live only in people's memory. Notes are inconsistent, action items lose their owners, and by the time anyone asks 'when did we decide this?' the answer is unrecoverable. Existing note-takers produce fluent summaries that nobody can verify, which is worse than no summary at all.</t>
  </si>
  <si>
    <t>Pick the one you can move fastest in. No marks for exotic choices.</t>
  </si>
  <si>
    <t>Zero spend expected. Everything in this brief is achievable with open-source libraries plus a free LLM tier or a locally-run model. Do not buy licences. Do not pay for API credits. If you hit a free-tier limit, say so in the README and show how you worked around it (caching, smaller model, local model).</t>
  </si>
  <si>
    <t>LLM (hosted free tier)</t>
  </si>
  <si>
    <t>Manual upload or a watched folder</t>
  </si>
  <si>
    <t>L3 — Acts, human reviews</t>
  </si>
  <si>
    <t>Reasoning, extraction, drafting</t>
  </si>
  <si>
    <t>An audio/video file, or a transcript file (txt / vtt / json), plus source metadata: title, date, participants, consent flag</t>
  </si>
  <si>
    <t>Any provider with a genuine free tier. Route through a single wrapper function so the provider can be swapped.</t>
  </si>
  <si>
    <t>Rate limits are part of the exercise. Cache responses during development so you are not re-billing tokens on every test run.</t>
  </si>
  <si>
    <t>A normalised transcript record: ordered segments with speaker label, start timestamp, text; stored with a stable source ID</t>
  </si>
  <si>
    <t>What the agent does</t>
  </si>
  <si>
    <t>LLM (fully local)</t>
  </si>
  <si>
    <t>None — read-only ingestion.</t>
  </si>
  <si>
    <t>Ingests a meeting recording or transcript and a chat-channel export. Extracts action items, decisions, and risks as structured records, each anchored to a verbatim quote and a timestamp. Puts every extraction in front of a human for approval before anything is written anywhere. Answers questions across the whole history with citations. Emits a structured outcome record that a downstream delivery agent can consume.</t>
  </si>
  <si>
    <t>Same, with zero network dependency</t>
  </si>
  <si>
    <t>Ingest all three supplied meetings plus the one deliberately malformed file; the malformed file is rejected with a clear reason and does not corrupt the store.</t>
  </si>
  <si>
    <t>No licensed SaaS required</t>
  </si>
  <si>
    <t>A local model runtime (e.g. Ollama, llama.cpp, LM Studio) running an open-weights instruct model in the 3B–8B range</t>
  </si>
  <si>
    <t>M2</t>
  </si>
  <si>
    <t>You are NOT expected to have access to Jira, Confluence, Slack, Teams, SharePoint, Zoom, or any paid tool. Every external system in this brief must be reached through an adapter interface with a working mock implementation. Using a real SaaS integration earns no extra marks. A clean, swappable mock earns full marks.</t>
  </si>
  <si>
    <t>Consent gate</t>
  </si>
  <si>
    <t>Runs before any extraction on any source</t>
  </si>
  <si>
    <t>L4 — Autonomous, human informed</t>
  </si>
  <si>
    <t>Source metadata consent flag</t>
  </si>
  <si>
    <t>Behavioural rules the agent must follow</t>
  </si>
  <si>
    <t>Either a pass, or a refusal record stating why nothing was processed</t>
  </si>
  <si>
    <t>None — this is a hard block, not a prompt.</t>
  </si>
  <si>
    <t>Tech stack</t>
  </si>
  <si>
    <t>Perfectly acceptable and often faster to iterate against. Smaller models need tighter prompts and stricter output schemas — that is a skill we are scoring.</t>
  </si>
  <si>
    <t>The supplied meeting with consent=false is never transcribed, never sent to a model, and produces zero extracted items. Demonstrate this explicitly in the recording.</t>
  </si>
  <si>
    <t>1. Never invent a speaker, an owner, a date, or a quote. 2. Every extracted item carries a verbatim quote that is a literal substring of the source, plus a source ID and timestamp. 3. When the source does not state an owner or a due date, output UNSPECIFIED and raise it as an open question — never infer a plausible value. 4. Refuse to process any source whose consent flag is not explicitly true. 5. Nothing reaches an external system without human approval.</t>
  </si>
  <si>
    <t>Entirely your choice. Language, framework, model, database, orchestration library — all free. We score what the system does and how well it is reasoned about, never which stack you picked. Justify your choices briefly in the README.</t>
  </si>
  <si>
    <t>Structured output</t>
  </si>
  <si>
    <t>M3</t>
  </si>
  <si>
    <t>Forcing the model to return parseable data</t>
  </si>
  <si>
    <t>Extract action items</t>
  </si>
  <si>
    <t>JSON-schema-constrained decoding · Pydantic / Zod validation on every model response · retry-on-parse-failure loop</t>
  </si>
  <si>
    <t>Required, not optional. A model response that is parsed with a regex or a naive string split will lose marks.</t>
  </si>
  <si>
    <t>On successful ingestion</t>
  </si>
  <si>
    <t>L2 — Drafts, human approves</t>
  </si>
  <si>
    <t>Agent orchestration</t>
  </si>
  <si>
    <t>Normalised transcript, participant list</t>
  </si>
  <si>
    <t>Multi-step tool use, if you need it</t>
  </si>
  <si>
    <t>Model choice</t>
  </si>
  <si>
    <t>Structured action records: what, owner, due date, verbatim quote, speaker, timestamp, confidence; owner and due date may be UNSPECIFIED</t>
  </si>
  <si>
    <t>Plain functions plus a tool-dispatch loop (recommended for a 7-day build) · or an open-source agent framework if you already know one</t>
  </si>
  <si>
    <t>Every action lands in the review queue as pending. Nothing is written anywhere until approved.</t>
  </si>
  <si>
    <t>A hand-rolled loop you fully understand beats a framework you cannot explain. Do not add a framework for its own sake.</t>
  </si>
  <si>
    <t>Recall against the golden action list is at least 0.7; no action carries a quote that is not a literal substring of the transcript; the two commitments in the golden set with no stated owner come back as UNSPECIFIED rather than guessed.</t>
  </si>
  <si>
    <t>Any model you can run for free: a local model via a local runtime, or a hosted free tier. Model quality is not being assessed — your prompt design, grounding discipline, and evaluation rigour are. A small local model with a tight eval harness scores higher than a large hosted model with no evidence of quality.</t>
  </si>
  <si>
    <t>Primary user</t>
  </si>
  <si>
    <t>Tool / integration protocol</t>
  </si>
  <si>
    <t>A delivery lead or project manager who runs four to eight recurring meetings a week and needs the resulting commitments captured accurately without doing it by hand.</t>
  </si>
  <si>
    <t>Exposing capabilities to other agents</t>
  </si>
  <si>
    <t>M4</t>
  </si>
  <si>
    <t>Model Context Protocol (open spec, open SDKs) · or a plain documented HTTP/JSON contract</t>
  </si>
  <si>
    <t>Extract decisions</t>
  </si>
  <si>
    <t>Bonus marks, not required. If you do it, the schema must be versioned and documented.</t>
  </si>
  <si>
    <t>In scope for the 7 days</t>
  </si>
  <si>
    <t>Use of AI coding assistants</t>
  </si>
  <si>
    <t>Batch ingestion of a supplied recording or transcript file; extraction of actions, decisions and risks; a review-and-approve queue; a mocked tracker write; question answering across stored history with citations; ingestion of a supplied chat export; a scheduled end-of-day digest; a consent gate; an evaluation harness.</t>
  </si>
  <si>
    <t>API / service layer</t>
  </si>
  <si>
    <t>Encouraged and expected. Declare which assistants you used in the README. We care that you can explain and defend every design decision in the live walkthrough — if you cannot explain a file, delete it.</t>
  </si>
  <si>
    <t>Normalised transcript</t>
  </si>
  <si>
    <t>HTTP surface for the UI and for other agents</t>
  </si>
  <si>
    <t>FastAPI · Flask · Express · plain HTTP server</t>
  </si>
  <si>
    <t>Decision records: what was decided, stated rationale, who stated it, verbatim quote, timestamp; plus alternatives if they were discussed</t>
  </si>
  <si>
    <t>Keep endpoints thin: routing and validation only, no business logic inside route handlers.</t>
  </si>
  <si>
    <t>Reviewer can correct or reject before the decision enters the searchable log.</t>
  </si>
  <si>
    <t>Data store</t>
  </si>
  <si>
    <t>Entities, state, audit trail</t>
  </si>
  <si>
    <t>The three golden decisions are all found; the deliberate near-miss in the sample (a decision that was proposed and then explicitly deferred) is NOT recorded as a decision.</t>
  </si>
  <si>
    <t>Explicitly out of scope</t>
  </si>
  <si>
    <t>Honesty</t>
  </si>
  <si>
    <t>M5</t>
  </si>
  <si>
    <t>SQLite (default choice — zero setup) · PostgreSQL if you want it · plain JSON/JSONL files for small stores</t>
  </si>
  <si>
    <t>The README must contain a status table marking each capability as Done / Partial / Not built. Overstating status is the single fastest way to fail this exercise (see the Anti-Patterns tab). Understating is fine; we will find it.</t>
  </si>
  <si>
    <t>Extract risks and blockers</t>
  </si>
  <si>
    <t>Whatever you choose, the schema must be visible in the repo (migration file or model definitions), not created ad hoc at runtime.</t>
  </si>
  <si>
    <t>Live auto-joining of video calls. Real-time streaming transcription. Real integrations with any meeting platform, chat workspace, or issue tracker. Speaker-diarisation research — use whatever labels your transcription tool gives you, or the labels already present in the supplied transcripts. Authentication and multi-tenancy. Visual design.</t>
  </si>
  <si>
    <t>Vector / semantic search</t>
  </si>
  <si>
    <t>SHOULD</t>
  </si>
  <si>
    <t>Retrieval over past content, where the agent needs it</t>
  </si>
  <si>
    <t>FAISS · Chroma · sqlite-vec · LanceDB · or plain keyword search (BM25 / SQLite FTS5)</t>
  </si>
  <si>
    <t>Keyword search that works and is measured beats a vector store that is never evaluated. Justify your choice.</t>
  </si>
  <si>
    <t>Demo</t>
  </si>
  <si>
    <t>Embeddings</t>
  </si>
  <si>
    <t>Vectorising text for retrieval</t>
  </si>
  <si>
    <t>A 5–10 minute recorded screen walkthrough plus a live Q&amp;A. The recording must show the system actually running end to end on the provided sample data, not a slide deck of intentions.</t>
  </si>
  <si>
    <t>Open-weights sentence-embedding models run locally (e.g. all-MiniLM / bge-small class) · free-tier embedding API</t>
  </si>
  <si>
    <t>Local embeddings avoid rate limits entirely and are fast enough on a laptop.</t>
  </si>
  <si>
    <t>Speech to text</t>
  </si>
  <si>
    <t>Only for the Meeting agent</t>
  </si>
  <si>
    <t>faster-whisper · whisper.cpp · openai-whisper (local weights) · Vosk</t>
  </si>
  <si>
    <t>Use the smallest model that works (tiny/base) — transcription accuracy is not what is being scored. Pre-supplied transcripts may be used if your machine cannot run a model.</t>
  </si>
  <si>
    <t>Scheduling</t>
  </si>
  <si>
    <t>Time-based triggers (morning / end of day / weekly)</t>
  </si>
  <si>
    <t>APScheduler · Celery beat · system cron · a scheduled CI workflow</t>
  </si>
  <si>
    <t>A real scheduler must exist and be demonstrable. A button labelled 'Run morning job' with no scheduler behind it is a partial implementation — say so in the README.</t>
  </si>
  <si>
    <t>User interface</t>
  </si>
  <si>
    <t>Where a human reviews and approves</t>
  </si>
  <si>
    <t>Streamlit · Gradio · plain HTML+HTMX · React/Vue if you are quick with it · a CLI is acceptable</t>
  </si>
  <si>
    <t>WHAT WE ARE ACTUALLY ASSESSING</t>
  </si>
  <si>
    <t>The review-and-approve surface matters far more than how pretty it looks. Zero marks for visual polish; real marks for a usable approval queue.</t>
  </si>
  <si>
    <t>Testing</t>
  </si>
  <si>
    <t>Correctness of code</t>
  </si>
  <si>
    <t>pytest · vitest / jest · Go testing</t>
  </si>
  <si>
    <t>A handful of meaningful tests on the parsing and business logic. Do not chase coverage numbers.</t>
  </si>
  <si>
    <t>Evaluation harness</t>
  </si>
  <si>
    <t>Correctness of the model's output</t>
  </si>
  <si>
    <t>A plain script over a golden dataset, results printed as a table and committed as a file</t>
  </si>
  <si>
    <t>This is scored separately and heavily. See the Rubric and Golden Test Cases tabs. Most candidates skip this; do not be most candidates.</t>
  </si>
  <si>
    <t>Packaging / run</t>
  </si>
  <si>
    <t>Reproducibility on our machine</t>
  </si>
  <si>
    <t>Docker + docker-compose · or a documented make/uv/npm script and a .env.example</t>
  </si>
  <si>
    <t>We must be able to clone and run with one documented command. If setup needs more than 5 steps, simplify it.</t>
  </si>
  <si>
    <t>Hosting (optional)</t>
  </si>
  <si>
    <t>We are not testing whether you can produce a large volume of working software in a week. We are testing four things that predict whether someone can be trusted with delivery-facing AI work: (1) whether you build systems that tell the truth and can prove it, (2) whether you put a human in the loop before anything irreversible, (3) whether you measure your own output quality instead of asserting it, and (4) whether you make and defend explicit scope decisions rather than drifting. A small, honest, measured build beats a broad, unmeasured one every time.</t>
  </si>
  <si>
    <t>Public demo link</t>
  </si>
  <si>
    <t>Any free tier · or purely local with a recorded walkthrough</t>
  </si>
  <si>
    <t>Not required and not scored. A local demo with a good recording scores exactly the same as a deployed one.</t>
  </si>
  <si>
    <t>Version control</t>
  </si>
  <si>
    <t>How we read your work</t>
  </si>
  <si>
    <t>Git, public repository, meaningful incremental commits across the 7 days</t>
  </si>
  <si>
    <t>One giant final commit is a red flag. We look at commit history to understand how you worked.</t>
  </si>
  <si>
    <t>Two hard requirements hide in this table and are easy to miss. First, schema-validated structured output with a retry loop is mandatory — parsing model responses with string manipulation will cost you marks in several rubric categories at once. Second, the evaluation harness is mandatory and is worth more of the total score than the user interface. Read the Evaluation Rubric tab before you decide where your seven days go.</t>
  </si>
  <si>
    <t>Definition of done for the week</t>
  </si>
  <si>
    <t>From a clean clone: seed the sample data, run one documented command, and get a running system where a supplied recording or transcript is ingested; actions, decisions and risks appear in a review queue with verbatim quotes and timestamps; approving an action produces an inspectable mock tracker write and rejecting it produces none; a question such as 'when did we agree to defer the reporting module?' returns the right meeting with a citation; the chat export produces classified signals; the scheduled digest job produces a digest file; and an evaluation script prints recall, owner accuracy and a fabrication count against the golden cases.</t>
  </si>
  <si>
    <t>DESIGN NOTES SPECIFIC TO THIS AGENT</t>
  </si>
  <si>
    <t>Transcription is not the assessment</t>
  </si>
  <si>
    <t>Use the smallest local speech model that works, or skip audio entirely and work from the supplied text transcripts. Word error rate is not scored. If you spend two days on transcription quality you have misread the brief.</t>
  </si>
  <si>
    <t>Risk records with a severity label, the affected area, the quote, and whether an owner was named</t>
  </si>
  <si>
    <t>Reviewer confirms severity before the risk is emitted downstream.</t>
  </si>
  <si>
    <t>Both golden risks are found and severity is defensible from the quote alone.</t>
  </si>
  <si>
    <t>Chunking will decide your extraction quality</t>
  </si>
  <si>
    <t>A 25-minute transcript will not fit comfortably in a small model's context along with a demanding instruction. Chunk with overlap, extract per chunk, then deduplicate — and make sure your timestamps and quotes survive the chunk boundaries. Document your chunking strategy; we will ask about it.</t>
  </si>
  <si>
    <t>M6</t>
  </si>
  <si>
    <t>Review and approval queue</t>
  </si>
  <si>
    <t>Quote verification is cheap and decisive</t>
  </si>
  <si>
    <t>A substring check on every quote before a record is stored costs you five lines and eliminates the most damaging class of failure in this domain. Retry the model with the failure fed back before giving up on an item.</t>
  </si>
  <si>
    <t>Any pending extraction</t>
  </si>
  <si>
    <t>L2 — Human decides</t>
  </si>
  <si>
    <t>Pending action, decision, risk and signal records</t>
  </si>
  <si>
    <t>Each record moves to approved or rejected, with an editable payload, the approver identity and a timestamp; the original model output is retained alongside any human edit</t>
  </si>
  <si>
    <t>This IS the checkpoint. Approval must be enforced in the data model, not only in the interface.</t>
  </si>
  <si>
    <t>Attempting to trigger a downstream write for a pending or rejected record fails, including when called directly against the API rather than through the interface.</t>
  </si>
  <si>
    <t>M7</t>
  </si>
  <si>
    <t>Write approved items to a tracker</t>
  </si>
  <si>
    <t>On approval</t>
  </si>
  <si>
    <t>L2 — Executes only approved items</t>
  </si>
  <si>
    <t>Approved action records</t>
  </si>
  <si>
    <t>One tracker item per approved action, created through the tracker adapter, carrying the source ID, timestamp and quote in its description; a persisted write log</t>
  </si>
  <si>
    <t>Approval already given. Re-approval must not create a duplicate.</t>
  </si>
  <si>
    <t>Approve three actions, then re-run the write path twice: exactly three tracker items exist. The write log shows every attempt including the deduplicated ones.</t>
  </si>
  <si>
    <t>M8</t>
  </si>
  <si>
    <t>Cross-source question answering</t>
  </si>
  <si>
    <t>A user question</t>
  </si>
  <si>
    <t>L4 — Autonomous, read-only</t>
  </si>
  <si>
    <t>Stored transcripts, decisions, actions, risks and chat signals</t>
  </si>
  <si>
    <t>An answer with at least one citation per claim: source ID, timestamp or message ID, and the quoted span; an explicit 'not found in the available sources' when nothing supports an answer</t>
  </si>
  <si>
    <t>None — read-only.</t>
  </si>
  <si>
    <t>All five golden questions return the correct source in the top three results. The one golden question whose answer is genuinely absent from the corpus returns a not-found response rather than a plausible fabrication.</t>
  </si>
  <si>
    <t>M9</t>
  </si>
  <si>
    <t>Ingest and classify chat-channel signals</t>
  </si>
  <si>
    <t>Chat export file, or a watched folder</t>
  </si>
  <si>
    <t>A supplied chat export (messages with channel, author, timestamp, thread ID)</t>
  </si>
  <si>
    <t>Each relevant message classified as decision / blocker / question / request / noise, with a confidence and a link back to the message ID; noise is discarded not stored</t>
  </si>
  <si>
    <t>Anything that would produce a downstream write goes through the same approval queue as M3.</t>
  </si>
  <si>
    <t>Precision on the golden-labelled subset is at least 0.7 and the two direct-message records in the export are excluded from processing entirely.</t>
  </si>
  <si>
    <t>M10</t>
  </si>
  <si>
    <t>Scheduled end-of-day digest</t>
  </si>
  <si>
    <t>A real scheduler, at a configured local time</t>
  </si>
  <si>
    <t>The day's approved decisions and actions, new risks, and classified chat signals for a channel</t>
  </si>
  <si>
    <t>A digest artefact per channel — 3 items that moved, 2 items that need attention, 1 thing to decide — written to a file or the interface, with every line citing its source</t>
  </si>
  <si>
    <t>None; posting the digest is not an external write. Digests never contain unapproved extractions.</t>
  </si>
  <si>
    <t>The scheduler exists and is visible in the code. Running with a clock override produces a digest containing no unapproved items and no uncited lines.</t>
  </si>
  <si>
    <t>M11</t>
  </si>
  <si>
    <t>Emit a structured outcome record</t>
  </si>
  <si>
    <t>On approval of a source's extractions</t>
  </si>
  <si>
    <t>L4 — Autonomous</t>
  </si>
  <si>
    <t>Approved actions, decisions and risks for one source</t>
  </si>
  <si>
    <t>One versioned outcome record per source, written to a documented location (file, table or endpoint) with a published schema — consumable by a delivery agent without reading raw transcripts</t>
  </si>
  <si>
    <t>Contains approved items only; carries the consent flag forward.</t>
  </si>
  <si>
    <t>The schema is documented in the repo with a version field. A second process can read a record and reconstruct the approved items without any access to the transcript store.</t>
  </si>
  <si>
    <t>M12</t>
  </si>
  <si>
    <t>Follow-up message draft</t>
  </si>
  <si>
    <t>COULD</t>
  </si>
  <si>
    <t>On request, per source</t>
  </si>
  <si>
    <t>L2 — Drafts, human sends</t>
  </si>
  <si>
    <t>Approved decisions and actions for a source</t>
  </si>
  <si>
    <t>A draft recap message listing decisions and owner-assigned actions, containing no claim absent from the approved set</t>
  </si>
  <si>
    <t>Human edits and sends. The agent never sends.</t>
  </si>
  <si>
    <t>Every sentence in the draft traces to an approved record. Nothing is added for smoothness.</t>
  </si>
  <si>
    <t>M13</t>
  </si>
  <si>
    <t>Per-person digest</t>
  </si>
  <si>
    <t>Scheduled</t>
  </si>
  <si>
    <t>Approved actions grouped by owner</t>
  </si>
  <si>
    <t>A short per-person view: your commitments, what is due next, what you were named in</t>
  </si>
  <si>
    <t>None. Must exclude direct-message-sourced content entirely.</t>
  </si>
  <si>
    <t>A person with no commitments receives no digest rather than an empty one.</t>
  </si>
  <si>
    <t>Capability count — MUST: 7  |  SHOULD: 4  |  COULD: 2.  The MUST set is deliberately sized for roughly four focused days, leaving time for evaluation, hardening and the demo. If you find yourself on Day 5 with MUST rows outstanding, stop adding and start finishing.</t>
  </si>
  <si>
    <t>Adapter Contract — Building Without Licensed Software</t>
  </si>
  <si>
    <t>You are not expected to have access to any commercial tool. This tab defines how to design against systems you cannot reach, and how that design will be assessed.</t>
  </si>
  <si>
    <t>Meeting Agent — Suggested Seven Day Plan</t>
  </si>
  <si>
    <t>THE ADAPTER REQUIREMENT</t>
  </si>
  <si>
    <t>Why adapters</t>
  </si>
  <si>
    <t>A suggestion, not a mandate. Deviate if you have a better plan and say so in your decision log. The one sequencing rule we do insist on: a thin end-to-end slice by the end of Day 2, and evaluation started well before Day 6.</t>
  </si>
  <si>
    <t>Every capability in this brief touches a system you almost certainly cannot access: an issue tracker, a chat workspace, a document store, a calendar, an email outbox. The point of the exercise is to prove you can design against those systems without having them.</t>
  </si>
  <si>
    <t>The rule</t>
  </si>
  <si>
    <t>For each external system, define one interface (abstract class / protocol / typed interface) listing only the operations your agent actually needs. Then provide a mock implementation backed by local files or tables that satisfies the same interface. All agent logic talks to the interface — never to the mock directly.</t>
  </si>
  <si>
    <t>Day</t>
  </si>
  <si>
    <t>Focus</t>
  </si>
  <si>
    <t>What to build</t>
  </si>
  <si>
    <t>The test we apply</t>
  </si>
  <si>
    <t>End-of-day definition of done</t>
  </si>
  <si>
    <t>We will read your code and ask: could a real integration be dropped in by writing one new class and changing one line of wiring, with zero changes to agent logic? If yes, full marks. If the mock's data shape has leaked into your prompts, business rules, or database schema, partial marks.</t>
  </si>
  <si>
    <t>Watch out for</t>
  </si>
  <si>
    <t>Day 1</t>
  </si>
  <si>
    <t>Mock realism</t>
  </si>
  <si>
    <t>Mocks must return realistically messy data: missing assignees, stale timestamps, duplicate items, free-text status fields, items with no due date. An agent that only works on clean data has not been tested.</t>
  </si>
  <si>
    <t>Set up, ingest, and see the data</t>
  </si>
  <si>
    <t>Write operations</t>
  </si>
  <si>
    <t>Read the whole brief and the golden test cases before writing code. Choose your stack and get a model responding through a single wrapper function. Load the sample transcripts and the chat export. Define your storage schema for sources, segments, actions, decisions, risks and signals. Implement M1 ingestion for transcript files, and the M2 consent gate.</t>
  </si>
  <si>
    <t>Mock writes must be persisted and inspectable (a table, a JSONL log, a file diff) so that during the demo you can show exactly what the agent would have written to the real system, and prove that nothing was written without approval.</t>
  </si>
  <si>
    <t>A supplied transcript is in your store as ordered segments with speakers and timestamps, and the consent=false source is provably refused.</t>
  </si>
  <si>
    <t>If you are still choosing a framework at the end of Day 1, abandon the framework and use plain functions.</t>
  </si>
  <si>
    <t>Day 2</t>
  </si>
  <si>
    <t>One capability, all the way through</t>
  </si>
  <si>
    <t>Empty files are worse than missing files</t>
  </si>
  <si>
    <t>Implement M3 action extraction with a schema-constrained model call and validation-with-retry. Enforce that every quote is a literal substring of the transcript — reject and retry the model when it is not. Build the pending-record model for M6 and the crudest possible review surface. Write the first 5 golden test cases into your harness.</t>
  </si>
  <si>
    <t>Do not commit placeholder files named after integrations you did not build. An empty adapter file implies a capability that does not exist. Either build it or leave it out and note it in the README status table.</t>
  </si>
  <si>
    <t>A transcript goes in; verified, quote-anchored action records with UNSPECIFIED owners where appropriate appear in a review queue; the harness prints its first recall number.</t>
  </si>
  <si>
    <t>This thin end-to-end slice is the single most important milestone of the week. Do not move on without it.</t>
  </si>
  <si>
    <t>Day 3</t>
  </si>
  <si>
    <t>Approval, writes, and the tracker adapter</t>
  </si>
  <si>
    <t>Define the tracker adapter interface and a mock backed by a local table. Complete M6 approve/reject with approver and timestamp, retaining the pre-edit model output. Implement M7 including idempotency so re-approval cannot duplicate. Prove at the API level that a pending record cannot be written.</t>
  </si>
  <si>
    <t>Approve an action and see exactly one inspectable mock tracker item; reject one and see none; re-run and see no duplicates.</t>
  </si>
  <si>
    <t>Make proposals first-class rows with a status field. Anything less will not survive the demo questions.</t>
  </si>
  <si>
    <t>Day 4</t>
  </si>
  <si>
    <t>Decisions, risks, and retrieval</t>
  </si>
  <si>
    <t>Add M4 decisions and M5 risks, reusing the extraction and validation scaffolding. Build M8 question answering over stored content with mandatory citations, including a genuine not-found path. Add the remaining golden test cases to the harness.</t>
  </si>
  <si>
    <t>The five golden questions resolve to the right sources with citations, and the unanswerable one returns not-found.</t>
  </si>
  <si>
    <t>Keyword or full-text search that you evaluate beats a vector store you do not. Choose based on your remaining time.</t>
  </si>
  <si>
    <t>EXTERNAL SYSTEMS THIS AGENT TOUCHES</t>
  </si>
  <si>
    <t>Day 5</t>
  </si>
  <si>
    <t>Channels and schedule</t>
  </si>
  <si>
    <t>Implement M9 chat ingestion and signal classification, with direct messages excluded by construction. Implement M10 with a real scheduler and a clock override for demoing. Implement M11 outcome records with a documented versioned schema.</t>
  </si>
  <si>
    <t>The chat export produces classified signals; a scheduled run produces a digest whose every line is cited and whose contents are all approved; one outcome record file exists and validates against its schema.</t>
  </si>
  <si>
    <t>If time is short, cut M11 and say so in the README. Do not cut the scheduler and then claim M10.</t>
  </si>
  <si>
    <t>Day 6</t>
  </si>
  <si>
    <t>Harden and measure</t>
  </si>
  <si>
    <t>Run the full harness and record the numbers. Fix the worst failure it reveals. Feed in the malformed source, an empty transcript, and a transcript with no commitments at all. Add graceful handling for model rate limits and parse failures. Write the README status table from the code, plus the architecture note and decision log.</t>
  </si>
  <si>
    <t>Committed eval results, a documented fix driven by them, and a README you would be comfortable having read against the code.</t>
  </si>
  <si>
    <t>Reserve real time for this. The candidates who skip Day 6 are the ones who fail on Day 7 questions.</t>
  </si>
  <si>
    <t>Day 7</t>
  </si>
  <si>
    <t>Derive the exact list from the Inputs and Outputs columns of the Task Catalog. Typically this agent needs an issue or work tracker, a document or file store, a chat or notification channel, and a store for its own state. Define one narrow interface per system, listing only the operations your capabilities actually use, and back each one with a mock over local files or tables. Nothing in your agent logic should know that the mock is a mock.</t>
  </si>
  <si>
    <t>Verify setup from a clean clone on a different directory. Record the 5–10 minute walkthrough: ingest, consent refusal, extraction with quotes, an UNSPECIFIED owner handled honestly, approve and write, reject and no write, a cited answer, a not-found answer, the digest, and the eval output. Close with your own assessment of the weakest part of the build.</t>
  </si>
  <si>
    <t>A recording that shows software running, and a repo that a stranger can run.</t>
  </si>
  <si>
    <t>Do not add features on Day 7. Something will break and you will not have time to notice.</t>
  </si>
  <si>
    <t>Meeting Agent — Sample Data and Golden Test Cases</t>
  </si>
  <si>
    <t>WORKED EXAMPLE OF THE SHAPE WE EXPECT</t>
  </si>
  <si>
    <t>If you fall behind, cut whole capabilities from the bottom of the Task Catalog rather than degrading the ones you have. A submission with four MUST capabilities working properly, measured, and honestly documented scores well above one with nine capabilities half-built. Record every cut in your decision log with a sentence on what it would take to add.</t>
  </si>
  <si>
    <t>You build the sample data yourself, to the shape described here, and commit it. The golden cases below are the tests your evaluation harness must run. They are published deliberately: we would rather you build the right thing than guess at it.</t>
  </si>
  <si>
    <t>Interface: Tracker with the operations list_items(filter), get_item(id), add_comment(id, body, tags), create_item(payload) and transition(id, status).  |  Implementation A: MockTracker, reading from a seeded local table and appending every write to an inspectable write log.  |  Implementation B (not required, do not build): a real tracker client satisfying the same interface.  |  Wiring: one factory function chooses the implementation from configuration. Agent code imports the interface type and never the mock.  |  The test we apply: could B be added without touching a single line of agent logic, prompt, or database schema?</t>
  </si>
  <si>
    <t>SAMPLE DATA AND CASES</t>
  </si>
  <si>
    <t>Item</t>
  </si>
  <si>
    <t>Detail</t>
  </si>
  <si>
    <t>Sample sources you must build against</t>
  </si>
  <si>
    <t>Create or source four meeting transcripts of 10–25 minutes each. Two must be real-feeling multi-speaker working sessions (a sprint planning and a client status call). One must have its consent flag set to false. One must be deliberately malformed — truncated mid-sentence, missing speaker labels, or invalid encoding. Also produce one chat export of 60–120 messages across three channels, of which two channels are project channels and one is a direct-message thread that must be excluded. Commit all of it. If you generate the content with a model, say so in the README; that is expected and fine.</t>
  </si>
  <si>
    <t>Deliberate difficulties to plant in your samples</t>
  </si>
  <si>
    <t>At least two commitments with no owner stated ('someone needs to check the migration path'). At least one with a relative date only ('by end of next week'). One decision that is proposed and then explicitly deferred — it must NOT be recorded as a decision. Two people with similar first names. One action stated by a person on behalf of someone else. One long digression containing no commitments at all. One participant who never speaks.</t>
  </si>
  <si>
    <t>Golden case 1 — Action recall</t>
  </si>
  <si>
    <t>Hand-label every action item in the two valid meeting transcripts. Metric: recall against your labels, target at least 0.7. Report false positives separately; a system that extracts thirty actions to catch ten is not useful.</t>
  </si>
  <si>
    <t>Golden case 2 — Quote integrity (fabrication probe)</t>
  </si>
  <si>
    <t>For every extracted item, assert that the quote is a literal substring of the source transcript. Metric: fabricated-quote count. Target is zero. This is the single most important number in your submission.</t>
  </si>
  <si>
    <t>Golden case 3 — Owner accuracy and honest abstention</t>
  </si>
  <si>
    <t>For actions where an owner IS named, measure attribution accuracy against your labels (target at least 0.9). For the two actions where no owner is named, assert the output is UNSPECIFIED. A guessed owner counts as a failure, not a near-miss.</t>
  </si>
  <si>
    <t>Golden case 4 — Date discipline</t>
  </si>
  <si>
    <t>Assert that no action has a concrete due date unless the transcript states one or states a resolvable relative date. Metric: invented-date count, target zero. Where a relative date is resolved, the resolution rule must be documented.</t>
  </si>
  <si>
    <t>Golden case 5 — Deferred-decision negative test</t>
  </si>
  <si>
    <t>Assert that the proposed-then-deferred item does not appear in the decision log. This tests whether your prompt distinguishes 'we decided' from 'we discussed'.</t>
  </si>
  <si>
    <t>Golden case 6 — Retrieval</t>
  </si>
  <si>
    <t>Write five questions whose answers are in the corpus and one whose answer is not. Metric: correct source in the top three for the five, and a not-found response for the sixth. Report both.</t>
  </si>
  <si>
    <t>Golden case 7 — Chat signal precision</t>
  </si>
  <si>
    <t>Hand-label twenty messages from the chat export across the five signal classes. Metric: precision and recall per class. Also assert zero direct-message records entered the store.</t>
  </si>
  <si>
    <t>Golden case 8 — Approval enforcement</t>
  </si>
  <si>
    <t>An automated test that attempts a tracker write for a pending record and for a rejected record, directly against your service layer rather than the interface. Both must fail. This is a test, not a demo step.</t>
  </si>
  <si>
    <t>Your harness should print one line per metric with the measured value and the target, and write the same output to a file that you commit. Quote the headline numbers in the README. A harness that reveals a weakness you then explain scores higher than a harness that reports everything passing — the second one usually means the cases were too easy, and we will notice.</t>
  </si>
  <si>
    <t>STRETCH IDEAS — ONLY AFTER EVERY MUST CAPABILITY IS DONE</t>
  </si>
  <si>
    <t>Stretch</t>
  </si>
  <si>
    <t>Speaker-name resolution across sources, so that 'Priya' in one transcript and 'P. Sharma' in a chat export resolve to one person, with the merge rule documented and evaluated.</t>
  </si>
  <si>
    <t>Confidence calibration: report a confidence per extraction and show, on your golden set, that low-confidence items really are wrong more often. A calibration plot beats a claim.</t>
  </si>
  <si>
    <t>Contradiction detection across sources: flag when a later meeting contradicts an earlier recorded decision, and cite both.</t>
  </si>
  <si>
    <t>Cost and latency instrumentation per source processed, with a short note on what you would optimise first.</t>
  </si>
  <si>
    <t>Expose question answering as a documented, versioned tool contract that another agent could call.</t>
  </si>
  <si>
    <t>Submission Checklist</t>
  </si>
  <si>
    <t>Anti-Patterns — Observed Failure Modes</t>
  </si>
  <si>
    <t>What to hand in at the end of Day 7. Required items are scored; optional items are not, and skipping them costs nothing.</t>
  </si>
  <si>
    <t>Meeting Agent — Evaluation Rubric (Scoring Sheet)</t>
  </si>
  <si>
    <t>Drawn from real reviews of agent submissions of exactly this kind. Every row below has actually happened and cost someone the assessment. Read this tab twice: once now, and once on the morning of Day 6.</t>
  </si>
  <si>
    <t>Deliverable</t>
  </si>
  <si>
    <t>Required?</t>
  </si>
  <si>
    <t>What we expect to find</t>
  </si>
  <si>
    <t>Anti-pattern</t>
  </si>
  <si>
    <t>Public git repository</t>
  </si>
  <si>
    <t>Why it fails</t>
  </si>
  <si>
    <t>What to do instead</t>
  </si>
  <si>
    <t>Required</t>
  </si>
  <si>
    <t>README describes a system the code does not contain</t>
  </si>
  <si>
    <t>Full source, committed incrementally across the 7 days. History is part of the assessment.</t>
  </si>
  <si>
    <t>Feature list and tech stack imply integrations that are absent. Reviewers who read code first lose trust in every other claim in the submission, including the ones that were true.</t>
  </si>
  <si>
    <t>Used by the reviewer during code read, demo and Q&amp;A. Candidates get this in advance on purpose: there is nothing to game here, because every criterion requires evidence in the repository. Enter a band of 0–5 in the yellow Score column; the weighted total calculates itself.</t>
  </si>
  <si>
    <t>README.md with an honest status table</t>
  </si>
  <si>
    <t>Write the README last, from the code. Include a Done / Partial / Not built table. Understate rather than overstate.</t>
  </si>
  <si>
    <t>One row per capability from the Task Catalog, marked Done / Partial / Not built, with a one-line note. This table is the first thing we read after the code.</t>
  </si>
  <si>
    <t>Empty or placeholder files named after integrations</t>
  </si>
  <si>
    <t>Setup instructions verified from a clean clone</t>
  </si>
  <si>
    <t>A zero-line file named for a tracker or document system reads as a deliberate implication of work that does not exist.</t>
  </si>
  <si>
    <t>Delete unbuilt files. If you want to signal intent, put it in the README's Not built column with a sentence on how you would approach it.</t>
  </si>
  <si>
    <t>One documented command to install, one to seed sample data, one to run. Include a .env.example. State the exact model and version you used.</t>
  </si>
  <si>
    <t>Architecture note</t>
  </si>
  <si>
    <t>Intent classification presented as an agent</t>
  </si>
  <si>
    <t>One page or one diagram: components, data flow, where the human approval gate sits, which adapters exist and what they mock.</t>
  </si>
  <si>
    <t>A single endpoint that maps a sentence to one of N fixed operations and calls a CRUD function is a natural-language interface, not an agent. It has no autonomy, no schedule, no memory, no proactive behaviour, and no judgement.</t>
  </si>
  <si>
    <t>Adapter interfaces plus mock implementations</t>
  </si>
  <si>
    <t>An agent in this brief must do at least one thing without being asked: run on a schedule, notice a gap, chase a stale item, refuse to proceed on insufficient information.</t>
  </si>
  <si>
    <t>One interface per external system, each with a mock backed by local data. See the Adapter Contract tab.</t>
  </si>
  <si>
    <t>Building a generic tool instead of the specified agent</t>
  </si>
  <si>
    <t>SCORING</t>
  </si>
  <si>
    <t>Evaluation harness plus committed results</t>
  </si>
  <si>
    <t>Rebuilding a task manager, a note-taker, or a chat wrapper is the comfortable path and scores near zero on functional coverage, however clean the code.</t>
  </si>
  <si>
    <t>A script that runs the golden test cases and prints per-metric scores, plus the output file from your final run.</t>
  </si>
  <si>
    <t>Read the Task Catalog and build against the MUST rows specifically. If you cut scope, cut whole capabilities and say so — do not substitute easier ones.</t>
  </si>
  <si>
    <t>Decision &amp; assumption log</t>
  </si>
  <si>
    <t>A short file recording scope cuts, assumptions made about ambiguous requirements, and known limitations. Brevity is fine; bullet points are fine.</t>
  </si>
  <si>
    <t>Recorded walkthrough, 5–10 minutes</t>
  </si>
  <si>
    <t>Screen recording of a genuine end-to-end run on sample data, including one edge case or failure being handled. No slides.</t>
  </si>
  <si>
    <t>No human approval gate</t>
  </si>
  <si>
    <t>Sample data used</t>
  </si>
  <si>
    <t>The agent writes as soon as it decides. In a delivery context this is the difference between a useful assistant and one nobody is allowed to switch on.</t>
  </si>
  <si>
    <t>The seed data in the repo so we can reproduce your run exactly. Extend the supplied set if you want; do not shrink it.</t>
  </si>
  <si>
    <t>Make proposals first-class objects in your data model: status pending / approved / rejected, with approver and timestamp. Writes read from approved proposals only.</t>
  </si>
  <si>
    <t>#</t>
  </si>
  <si>
    <t>Deployed public URL</t>
  </si>
  <si>
    <t>No evaluation of output quality</t>
  </si>
  <si>
    <t>Unit tests prove the code runs. They say nothing about whether the extraction was right, the summary was grounded, or the prioritisation was sane. Almost every submission has tests; very few have evals.</t>
  </si>
  <si>
    <t>Twenty golden cases and a scoring script will differentiate you more than a week of extra features. Start it on Day 2, not Day 7.</t>
  </si>
  <si>
    <t>Silent guessing on ambiguity</t>
  </si>
  <si>
    <t>Optional</t>
  </si>
  <si>
    <t>The source does not name an owner or a date, so the model invents a plausible one. This is the single most damaging failure mode in a delivery-facing agent, because it is fluent and therefore trusted.</t>
  </si>
  <si>
    <t>Make AMBIGUOUS / UNSPECIFIED a valid output value, and prefer it. Surface an open question instead of a confident answer. Add a golden test case that checks you do not guess.</t>
  </si>
  <si>
    <t>Prompts scattered inline through the code</t>
  </si>
  <si>
    <t>The same instruction exists in three files and has already drifted. Nothing can be versioned, diffed, or evaluated.</t>
  </si>
  <si>
    <t>One prompt per capability, in its own file, loaded at runtime. Your eval harness then tests a specific prompt version.</t>
  </si>
  <si>
    <t>Building for a stack you do not have</t>
  </si>
  <si>
    <t>Wiring against a licensed SaaS you cannot authenticate against, then demoing nothing.</t>
  </si>
  <si>
    <t>Adapter plus mock, from hour one. It is the explicit expectation of this exercise, not a compromise.</t>
  </si>
  <si>
    <t>All the work landing on Day 6 and 7</t>
  </si>
  <si>
    <t>A single large commit at the deadline. It removes our ability to see how you work, and it reliably correlates with an undemoable build.</t>
  </si>
  <si>
    <t>Get a thin end-to-end slice working by Day 2 — one input through to one grounded, approvable output — then deepen it.</t>
  </si>
  <si>
    <t>Criterion</t>
  </si>
  <si>
    <t>Not scored. Local plus recording scores identically.</t>
  </si>
  <si>
    <t>The common thread: every one of these is a shortcut that looks like progress. Documentation that outruns the code, features that outrun the evaluation, autonomy that outruns the approval gate. The habit we are selecting for is the opposite one — build less, prove it works, describe it accurately.</t>
  </si>
  <si>
    <t>Container / compose setup</t>
  </si>
  <si>
    <t>What good looks like</t>
  </si>
  <si>
    <t>Helpful for reproducibility, not required.</t>
  </si>
  <si>
    <t>Stretch work</t>
  </si>
  <si>
    <t>Red flags</t>
  </si>
  <si>
    <t>Only after every MUST capability is genuinely done. Note it separately in the README so we score it as stretch.</t>
  </si>
  <si>
    <t>Weight</t>
  </si>
  <si>
    <t>Score (0-5)</t>
  </si>
  <si>
    <t>The README status table is the item candidates most often skip and the one that most changes our reading of a submission. It costs fifteen minutes, it demonstrates the professional habit we care about most, and it protects you: a capability you have honestly marked Partial is assessed as partial work, whereas the same capability implied as complete is assessed as misrepresentation.</t>
  </si>
  <si>
    <t>Weighted</t>
  </si>
  <si>
    <t>Functional coverage — Must-have capabilities</t>
  </si>
  <si>
    <t>Every capability marked MUST in the Task Catalog runs end to end on the sample data. Each one is demonstrable in the recording without hand-editing the database mid-demo.</t>
  </si>
  <si>
    <t>Capabilities that exist only as a menu item, a stub function, or a README bullet. Happy path only, crashes on the messy sample records.</t>
  </si>
  <si>
    <t>Grounding &amp; citation discipline</t>
  </si>
  <si>
    <t>Every factual claim the agent makes carries a machine-checkable pointer back to its source (item ID, message ID, commit hash, transcript timestamp, document section). Quotes are verbatim substrings of the source. A claim with no source is either suppressed or explicitly flagged as unsupported.</t>
  </si>
  <si>
    <t>Fluent summaries with no traceability. Invented owners, dates, ticket IDs, or quotes. Citations that point at a document but not a location within it.</t>
  </si>
  <si>
    <t>Human-in-the-loop gating</t>
  </si>
  <si>
    <t>No write to any external system happens without explicit human approval, enforced in code rather than by convention. There is a visible pending-approval queue, an approve/reject path, a record of who approved what and when, and a safe default on timeout or no response.</t>
  </si>
  <si>
    <t>Agent writes immediately and offers an undo. Approval exists in the UI but is bypassable via the API. No audit of approvals. 'The user can just edit it afterwards' as a substitute for a gate.</t>
  </si>
  <si>
    <t>Evaluation harness &amp; measured quality</t>
  </si>
  <si>
    <t>A runnable script scores the agent against the golden test cases and prints per-metric results. Numbers are committed and quoted in the README. At least one failure mode was found by the harness, and the README explains what was done about it.</t>
  </si>
  <si>
    <t>No harness. A harness that only checks the code does not crash. Metrics claimed in the README with no script that produces them.</t>
  </si>
  <si>
    <t>Architecture &amp; swappability</t>
  </si>
  <si>
    <t>Clear separation between agent reasoning, tool adapters, storage, scheduling, and interface. Adapter interfaces are narrow and honest. Prompts live in versioned files, not inline string literals scattered through the code. A real integration could be added without touching agent logic.</t>
  </si>
  <si>
    <t>Business logic inside route handlers. Mock data shapes leaking into prompts and schemas. One 800-line file. Prompts duplicated in several places and already diverging.</t>
  </si>
  <si>
    <t>Robustness &amp; failure handling</t>
  </si>
  <si>
    <t>Malformed model output is caught and retried against a schema. Missing fields, empty inputs, and rate-limit errors degrade gracefully with a clear message. Ambiguity is surfaced as ambiguity rather than resolved by guessing.</t>
  </si>
  <si>
    <t>Unhandled parse exceptions. Silent fallback to a default that looks like a real answer. Guessing an owner or a date when the source does not state one.</t>
  </si>
  <si>
    <t>Repository hygiene &amp; honest documentation</t>
  </si>
  <si>
    <t>README states what works, what is partial, and what is not built, as a table. Setup instructions are reproducible from a clean clone. Architecture is explained in a diagram or a short section. Commit history shows incremental work. No committed secrets.</t>
  </si>
  <si>
    <t>README describing an aspirational system. Empty files named after unbuilt integrations. Committed API keys. Single squashed commit at the deadline.</t>
  </si>
  <si>
    <t>Demo quality &amp; ability to defend the build</t>
  </si>
  <si>
    <t>The recording shows a real end-to-end run on sample data, including at least one failure or edge case handled well. In Q&amp;A the candidate can explain any file, name the weakest part of their own build, and say what they would do with one more week.</t>
  </si>
  <si>
    <t>Slides instead of software. Pre-baked database state presented as a live run. Cannot explain code that is in their own repository.</t>
  </si>
  <si>
    <t>Judgement &amp; initiative</t>
  </si>
  <si>
    <t>Scope decisions are explicit and defensible: what was cut, why, and what it would take to add. Assumptions are logged. Any addition beyond the brief is genuinely useful rather than decorative.</t>
  </si>
  <si>
    <t>Silent omissions. Time spent on visual polish while a MUST capability is missing. Framework added with no articulable reason.</t>
  </si>
  <si>
    <t>TOTAL</t>
  </si>
  <si>
    <t>SCORE BANDS — APPLY THE SAME BANDS TO EVERY CRITERION</t>
  </si>
  <si>
    <t>Band</t>
  </si>
  <si>
    <t>Label</t>
  </si>
  <si>
    <t>Meaning</t>
  </si>
  <si>
    <t>0</t>
  </si>
  <si>
    <t>Absent</t>
  </si>
  <si>
    <t>Not attempted, or present in name only.</t>
  </si>
  <si>
    <t>1</t>
  </si>
  <si>
    <t>Token</t>
  </si>
  <si>
    <t>Something exists but does not work, or works only on a single hand-picked input.</t>
  </si>
  <si>
    <t>2</t>
  </si>
  <si>
    <t>Partial</t>
  </si>
  <si>
    <t>Works on the happy path; breaks on the messy sample data; key sub-requirements missing.</t>
  </si>
  <si>
    <t>3</t>
  </si>
  <si>
    <t>Solid</t>
  </si>
  <si>
    <t>Meets the requirement on the sample data with reasonable handling of edge cases. The expected level for a strong intern.</t>
  </si>
  <si>
    <t>4</t>
  </si>
  <si>
    <t>Strong</t>
  </si>
  <si>
    <t>Meets the requirement fully, with evidence (tests, eval numbers, audit records) that it holds.</t>
  </si>
  <si>
    <t>5</t>
  </si>
  <si>
    <t>Exceptional</t>
  </si>
  <si>
    <t>As above, plus a design or measurement insight we had not specified and would adopt.</t>
  </si>
  <si>
    <t>INTERPRETING THE WEIGHTED TOTAL</t>
  </si>
  <si>
    <t>Below 40 — does not meet the bar.  |  40 to 54 — promising but not yet; specific gaps to feed back.  |  55 to 69 — hire-worthy for an internship; solid engineering habits with room to grow.  |  70 to 84 — strong; would be trusted with a real agent capability under review.  |  85 and above — exceptional; expect this candidate to teach us something in the debrief. Note that a score of 3 across every criterion lands at 60, which is a genuinely good outcome for a seven-day build.</t>
  </si>
  <si>
    <t>AUTOMATIC FAILURES — INDEPENDENT OF SCORE</t>
  </si>
  <si>
    <t>Condition</t>
  </si>
  <si>
    <t>Why</t>
  </si>
  <si>
    <t>README materially misrepresents what is built</t>
  </si>
  <si>
    <t>Capabilities listed as features that do not exist in the code, or integration files committed empty. We read the code before the README, every time. Misrepresentation ends the evaluation regardless of build quality.</t>
  </si>
  <si>
    <t>Agent writes to an external system with no approval path</t>
  </si>
  <si>
    <t>Even against a mock. The gating requirement is the core professional habit this exercise tests.</t>
  </si>
  <si>
    <t>Secrets committed to the repository</t>
  </si>
  <si>
    <t>API keys, tokens, or credentials in git history. Use a .env file and commit .env.example only.</t>
  </si>
  <si>
    <t>Work is not the candidate's own to explain</t>
  </si>
  <si>
    <t>Using AI assistants is expected and encouraged. Being unable to explain, justify, or modify your own submission during Q&amp;A is disqualifying.</t>
  </si>
  <si>
    <t>Fabricated evaluation results</t>
  </si>
  <si>
    <t>Metrics in the README with no script that reproduces them, or numbers that do not match a fresh run of the committed harness.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</si>
</sst>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b/>
      <sz val="15.0"/>
      <color rgb="FFFFFFFF"/>
      <name val="Arial"/>
    </font>
    <font/>
    <font>
      <i/>
      <sz val="10.0"/>
      <color rgb="FF000000"/>
      <name val="Arial"/>
    </font>
    <font>
      <b/>
      <sz val="11.0"/>
      <color rgb="FFFFFFFF"/>
      <name val="Arial"/>
    </font>
    <font>
      <sz val="10.0"/>
      <color rgb="FF000000"/>
      <name val="Arial"/>
    </font>
    <font>
      <b/>
      <sz val="10.0"/>
      <color rgb="FFFFFFFF"/>
      <name val="Arial"/>
    </font>
    <font>
      <b/>
      <sz val="10.0"/>
      <color rgb="FF000000"/>
      <name val="Arial"/>
    </font>
  </fonts>
  <fills count="12">
    <fill>
      <patternFill patternType="none"/>
    </fill>
    <fill>
      <patternFill patternType="lightGray"/>
    </fill>
    <fill>
      <patternFill patternType="solid">
        <fgColor rgb="FF1F3864"/>
        <bgColor rgb="FF1F3864"/>
      </patternFill>
    </fill>
    <fill>
      <patternFill patternType="solid">
        <fgColor rgb="FFF2F5FA"/>
        <bgColor rgb="FFF2F5FA"/>
      </patternFill>
    </fill>
    <fill>
      <patternFill patternType="solid">
        <fgColor rgb="FF44546A"/>
        <bgColor rgb="FF44546A"/>
      </patternFill>
    </fill>
    <fill>
      <patternFill patternType="solid">
        <fgColor rgb="FF2E7D77"/>
        <bgColor rgb="FF2E7D77"/>
      </patternFill>
    </fill>
    <fill>
      <patternFill patternType="solid">
        <fgColor rgb="FFDCE6F1"/>
        <bgColor rgb="FFDCE6F1"/>
      </patternFill>
    </fill>
    <fill>
      <patternFill patternType="solid">
        <fgColor rgb="FFF8CBAD"/>
        <bgColor rgb="FFF8CBAD"/>
      </patternFill>
    </fill>
    <fill>
      <patternFill patternType="solid">
        <fgColor rgb="FFFFF2CC"/>
        <bgColor rgb="FFFFF2CC"/>
      </patternFill>
    </fill>
    <fill>
      <patternFill patternType="solid">
        <fgColor rgb="FFE2EFDA"/>
        <bgColor rgb="FFE2EFDA"/>
      </patternFill>
    </fill>
    <fill>
      <patternFill patternType="solid">
        <fgColor rgb="FFFFFF00"/>
        <bgColor rgb="FFFFFF00"/>
      </patternFill>
    </fill>
    <fill>
      <patternFill patternType="solid">
        <fgColor rgb="FFC00000"/>
        <bgColor rgb="FFC00000"/>
      </patternFill>
    </fill>
  </fills>
  <borders count="8">
    <border/>
    <border>
      <left/>
      <top/>
      <bottom/>
    </border>
    <border>
      <top/>
      <bottom/>
    </border>
    <border>
      <right/>
      <top/>
      <bottom/>
    </border>
    <border>
      <left style="thin">
        <color rgb="FFB4B4B4"/>
      </left>
      <top style="thin">
        <color rgb="FFB4B4B4"/>
      </top>
      <bottom style="thin">
        <color rgb="FFB4B4B4"/>
      </bottom>
    </border>
    <border>
      <top style="thin">
        <color rgb="FFB4B4B4"/>
      </top>
      <bottom style="thin">
        <color rgb="FFB4B4B4"/>
      </bottom>
    </border>
    <border>
      <right/>
      <top style="thin">
        <color rgb="FFB4B4B4"/>
      </top>
      <bottom style="thin">
        <color rgb="FFB4B4B4"/>
      </bottom>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1"/>
    </xf>
    <xf borderId="1" fillId="2" fontId="4" numFmtId="0" xfId="0" applyAlignment="1" applyBorder="1" applyFont="1">
      <alignment horizontal="left" shrinkToFit="0" vertical="center" wrapText="1"/>
    </xf>
    <xf borderId="4" fillId="3" fontId="5" numFmtId="0" xfId="0" applyAlignment="1" applyBorder="1" applyFont="1">
      <alignment horizontal="left" shrinkToFit="0" vertical="top" wrapText="1"/>
    </xf>
    <xf borderId="5" fillId="0" fontId="2" numFmtId="0" xfId="0" applyBorder="1" applyFont="1"/>
    <xf borderId="6" fillId="0" fontId="2" numFmtId="0" xfId="0" applyBorder="1" applyFont="1"/>
    <xf borderId="7" fillId="4" fontId="6" numFmtId="0" xfId="0" applyAlignment="1" applyBorder="1" applyFill="1" applyFont="1">
      <alignment horizontal="center" shrinkToFit="0" vertical="center" wrapText="1"/>
    </xf>
    <xf borderId="1" fillId="5" fontId="4" numFmtId="0" xfId="0" applyAlignment="1" applyBorder="1" applyFill="1" applyFont="1">
      <alignment horizontal="left" shrinkToFit="0" vertical="center" wrapText="1"/>
    </xf>
    <xf borderId="7" fillId="6" fontId="7" numFmtId="0" xfId="0" applyAlignment="1" applyBorder="1" applyFill="1" applyFont="1">
      <alignment horizontal="left" shrinkToFit="0" vertical="top" wrapText="1"/>
    </xf>
    <xf borderId="7" fillId="0" fontId="7" numFmtId="0" xfId="0" applyAlignment="1" applyBorder="1" applyFont="1">
      <alignment horizontal="left" shrinkToFit="0" vertical="top" wrapText="1"/>
    </xf>
    <xf borderId="4" fillId="0" fontId="5" numFmtId="0" xfId="0" applyAlignment="1" applyBorder="1" applyFont="1">
      <alignment horizontal="left" shrinkToFit="0" vertical="top" wrapText="1"/>
    </xf>
    <xf borderId="7" fillId="0" fontId="5" numFmtId="0" xfId="0" applyAlignment="1" applyBorder="1" applyFont="1">
      <alignment horizontal="left" shrinkToFit="0" vertical="top" wrapText="1"/>
    </xf>
    <xf borderId="7" fillId="7" fontId="5" numFmtId="0" xfId="0" applyAlignment="1" applyBorder="1" applyFill="1" applyFont="1">
      <alignment horizontal="left" shrinkToFit="0" vertical="top" wrapText="1"/>
    </xf>
    <xf borderId="7" fillId="8" fontId="5" numFmtId="0" xfId="0" applyAlignment="1" applyBorder="1" applyFill="1" applyFont="1">
      <alignment horizontal="left" shrinkToFit="0" vertical="top" wrapText="1"/>
    </xf>
    <xf borderId="4" fillId="8" fontId="5" numFmtId="0" xfId="0" applyAlignment="1" applyBorder="1" applyFont="1">
      <alignment horizontal="left" shrinkToFit="0" vertical="top" wrapText="1"/>
    </xf>
    <xf borderId="7" fillId="9" fontId="5" numFmtId="0" xfId="0" applyAlignment="1" applyBorder="1" applyFill="1" applyFont="1">
      <alignment horizontal="left" shrinkToFit="0" vertical="top" wrapText="1"/>
    </xf>
    <xf borderId="4" fillId="9" fontId="5" numFmtId="0" xfId="0" applyAlignment="1" applyBorder="1" applyFont="1">
      <alignment horizontal="left" shrinkToFit="0" vertical="top" wrapText="1"/>
    </xf>
    <xf borderId="7" fillId="0" fontId="5" numFmtId="0" xfId="0" applyAlignment="1" applyBorder="1" applyFont="1">
      <alignment horizontal="center" shrinkToFit="0" vertical="top" wrapText="1"/>
    </xf>
    <xf borderId="7" fillId="10" fontId="5" numFmtId="0" xfId="0" applyAlignment="1" applyBorder="1" applyFill="1" applyFont="1">
      <alignment horizontal="center" shrinkToFit="0" vertical="top" wrapText="1"/>
    </xf>
    <xf borderId="7" fillId="0" fontId="5" numFmtId="164" xfId="0" applyAlignment="1" applyBorder="1" applyFont="1" applyNumberFormat="1">
      <alignment horizontal="center" shrinkToFit="0" vertical="top" wrapText="1"/>
    </xf>
    <xf borderId="7" fillId="4" fontId="4" numFmtId="0" xfId="0" applyAlignment="1" applyBorder="1" applyFont="1">
      <alignment horizontal="center" shrinkToFit="0" vertical="center" wrapText="1"/>
    </xf>
    <xf borderId="7" fillId="4" fontId="4" numFmtId="0" xfId="0" applyAlignment="1" applyBorder="1" applyFont="1">
      <alignment horizontal="left" shrinkToFit="0" vertical="center" wrapText="1"/>
    </xf>
    <xf borderId="7" fillId="4" fontId="4" numFmtId="164" xfId="0" applyAlignment="1" applyBorder="1" applyFont="1" applyNumberFormat="1">
      <alignment horizontal="center" shrinkToFit="0" vertical="center" wrapText="1"/>
    </xf>
    <xf borderId="7" fillId="0" fontId="7" numFmtId="0" xfId="0" applyAlignment="1" applyBorder="1" applyFont="1">
      <alignment horizontal="center" shrinkToFit="0" vertical="top" wrapText="1"/>
    </xf>
    <xf borderId="1" fillId="11" fontId="4" numFmtId="0" xfId="0" applyAlignment="1" applyBorder="1" applyFill="1" applyFont="1">
      <alignment horizontal="left" shrinkToFit="0" vertical="center" wrapText="1"/>
    </xf>
    <xf borderId="7" fillId="7" fontId="7"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4.0"/>
    <col customWidth="1" min="2" max="6" width="30.0"/>
    <col customWidth="1" min="7" max="26" width="8.71"/>
  </cols>
  <sheetData>
    <row r="1" ht="31.5" customHeight="1">
      <c r="A1" s="1" t="s">
        <v>0</v>
      </c>
      <c r="B1" s="2"/>
      <c r="C1" s="2"/>
      <c r="D1" s="2"/>
      <c r="E1" s="2"/>
      <c r="F1" s="3"/>
    </row>
    <row r="2" ht="31.5" customHeight="1">
      <c r="A2" s="4" t="s">
        <v>2</v>
      </c>
      <c r="B2" s="2"/>
      <c r="C2" s="2"/>
      <c r="D2" s="2"/>
      <c r="E2" s="2"/>
      <c r="F2" s="3"/>
    </row>
    <row r="4" ht="24.0" customHeight="1">
      <c r="A4" s="5" t="s">
        <v>4</v>
      </c>
      <c r="B4" s="2"/>
      <c r="C4" s="2"/>
      <c r="D4" s="2"/>
      <c r="E4" s="2"/>
      <c r="F4" s="3"/>
    </row>
    <row r="5" ht="57.75" customHeight="1">
      <c r="A5" s="6" t="s">
        <v>7</v>
      </c>
      <c r="B5" s="7"/>
      <c r="C5" s="7"/>
      <c r="D5" s="7"/>
      <c r="E5" s="7"/>
      <c r="F5" s="8"/>
    </row>
    <row r="7" ht="24.0" customHeight="1">
      <c r="A7" s="10" t="s">
        <v>11</v>
      </c>
      <c r="B7" s="2"/>
      <c r="C7" s="2"/>
      <c r="D7" s="2"/>
      <c r="E7" s="2"/>
      <c r="F7" s="3"/>
    </row>
    <row r="8" ht="31.5" customHeight="1">
      <c r="A8" s="11" t="s">
        <v>20</v>
      </c>
      <c r="B8" s="13" t="s">
        <v>26</v>
      </c>
      <c r="C8" s="7"/>
      <c r="D8" s="7"/>
      <c r="E8" s="7"/>
      <c r="F8" s="7"/>
    </row>
    <row r="9" ht="45.0" customHeight="1">
      <c r="A9" s="11" t="s">
        <v>35</v>
      </c>
      <c r="B9" s="13" t="s">
        <v>38</v>
      </c>
      <c r="C9" s="7"/>
      <c r="D9" s="7"/>
      <c r="E9" s="7"/>
      <c r="F9" s="7"/>
    </row>
    <row r="10" ht="57.75" customHeight="1">
      <c r="A10" s="11" t="s">
        <v>49</v>
      </c>
      <c r="B10" s="13" t="s">
        <v>52</v>
      </c>
      <c r="C10" s="7"/>
      <c r="D10" s="7"/>
      <c r="E10" s="7"/>
      <c r="F10" s="7"/>
    </row>
    <row r="11" ht="57.75" customHeight="1">
      <c r="A11" s="11" t="s">
        <v>63</v>
      </c>
      <c r="B11" s="13" t="s">
        <v>69</v>
      </c>
      <c r="C11" s="7"/>
      <c r="D11" s="7"/>
      <c r="E11" s="7"/>
      <c r="F11" s="7"/>
    </row>
    <row r="12" ht="31.5" customHeight="1">
      <c r="A12" s="11" t="s">
        <v>89</v>
      </c>
      <c r="B12" s="13" t="s">
        <v>91</v>
      </c>
      <c r="C12" s="7"/>
      <c r="D12" s="7"/>
      <c r="E12" s="7"/>
      <c r="F12" s="7"/>
    </row>
    <row r="13" ht="45.0" customHeight="1">
      <c r="A13" s="11" t="s">
        <v>97</v>
      </c>
      <c r="B13" s="13" t="s">
        <v>99</v>
      </c>
      <c r="C13" s="7"/>
      <c r="D13" s="7"/>
      <c r="E13" s="7"/>
      <c r="F13" s="7"/>
    </row>
    <row r="14" ht="45.0" customHeight="1">
      <c r="A14" s="11" t="s">
        <v>111</v>
      </c>
      <c r="B14" s="13" t="s">
        <v>118</v>
      </c>
      <c r="C14" s="7"/>
      <c r="D14" s="7"/>
      <c r="E14" s="7"/>
      <c r="F14" s="7"/>
    </row>
    <row r="15" ht="84.0" customHeight="1">
      <c r="A15" s="11" t="s">
        <v>165</v>
      </c>
      <c r="B15" s="13" t="s">
        <v>166</v>
      </c>
      <c r="C15" s="7"/>
      <c r="D15" s="7"/>
      <c r="E15" s="7"/>
      <c r="F15" s="7"/>
    </row>
    <row r="17" ht="24.0" customHeight="1">
      <c r="A17" s="10" t="s">
        <v>167</v>
      </c>
      <c r="B17" s="2"/>
      <c r="C17" s="2"/>
      <c r="D17" s="2"/>
      <c r="E17" s="2"/>
      <c r="F17" s="3"/>
    </row>
    <row r="18" ht="31.5" customHeight="1">
      <c r="A18" s="11" t="s">
        <v>168</v>
      </c>
      <c r="B18" s="13" t="s">
        <v>169</v>
      </c>
      <c r="C18" s="7"/>
      <c r="D18" s="7"/>
      <c r="E18" s="7"/>
      <c r="F18" s="7"/>
    </row>
    <row r="19" ht="45.0" customHeight="1">
      <c r="A19" s="11" t="s">
        <v>173</v>
      </c>
      <c r="B19" s="13" t="s">
        <v>174</v>
      </c>
      <c r="C19" s="7"/>
      <c r="D19" s="7"/>
      <c r="E19" s="7"/>
      <c r="F19" s="7"/>
    </row>
    <row r="20" ht="31.5" customHeight="1">
      <c r="A20" s="11" t="s">
        <v>177</v>
      </c>
      <c r="B20" s="13" t="s">
        <v>178</v>
      </c>
      <c r="C20" s="7"/>
      <c r="D20" s="7"/>
      <c r="E20" s="7"/>
      <c r="F20"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F1"/>
    <mergeCell ref="A2:F2"/>
    <mergeCell ref="A4:F4"/>
    <mergeCell ref="A5:F5"/>
    <mergeCell ref="A7:F7"/>
    <mergeCell ref="B8:F8"/>
    <mergeCell ref="B9:F9"/>
    <mergeCell ref="B18:F18"/>
    <mergeCell ref="B19:F19"/>
    <mergeCell ref="B20:F20"/>
    <mergeCell ref="B10:F10"/>
    <mergeCell ref="B11:F11"/>
    <mergeCell ref="B12:F12"/>
    <mergeCell ref="B13:F13"/>
    <mergeCell ref="B14:F14"/>
    <mergeCell ref="B15:F15"/>
    <mergeCell ref="A17:F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6.0"/>
    <col customWidth="1" min="2" max="2" width="32.0"/>
    <col customWidth="1" min="3" max="3" width="10.0"/>
    <col customWidth="1" min="4" max="4" width="24.0"/>
    <col customWidth="1" min="5" max="5" width="22.0"/>
    <col customWidth="1" min="6" max="6" width="36.0"/>
    <col customWidth="1" min="7" max="7" width="42.0"/>
    <col customWidth="1" min="8" max="8" width="34.0"/>
    <col customWidth="1" min="9" max="9" width="46.0"/>
    <col customWidth="1" min="10" max="26" width="8.71"/>
  </cols>
  <sheetData>
    <row r="1" ht="31.5" customHeight="1">
      <c r="A1" s="1" t="s">
        <v>1</v>
      </c>
      <c r="B1" s="2"/>
      <c r="C1" s="2"/>
      <c r="D1" s="2"/>
      <c r="E1" s="2"/>
      <c r="F1" s="2"/>
      <c r="G1" s="2"/>
      <c r="H1" s="2"/>
      <c r="I1" s="3"/>
    </row>
    <row r="2" ht="31.5" customHeight="1">
      <c r="A2" s="4" t="s">
        <v>3</v>
      </c>
      <c r="B2" s="2"/>
      <c r="C2" s="2"/>
      <c r="D2" s="2"/>
      <c r="E2" s="2"/>
      <c r="F2" s="2"/>
      <c r="G2" s="2"/>
      <c r="H2" s="2"/>
      <c r="I2" s="3"/>
    </row>
    <row r="4" ht="57.75" customHeight="1">
      <c r="A4" s="6" t="s">
        <v>5</v>
      </c>
      <c r="B4" s="7"/>
      <c r="C4" s="7"/>
      <c r="D4" s="7"/>
      <c r="E4" s="7"/>
      <c r="F4" s="7"/>
      <c r="G4" s="7"/>
      <c r="H4" s="7"/>
      <c r="I4" s="8"/>
    </row>
    <row r="6" ht="30.0" customHeight="1">
      <c r="A6" s="9" t="s">
        <v>9</v>
      </c>
      <c r="B6" s="9" t="s">
        <v>12</v>
      </c>
      <c r="C6" s="9" t="s">
        <v>13</v>
      </c>
      <c r="D6" s="9" t="s">
        <v>14</v>
      </c>
      <c r="E6" s="9" t="s">
        <v>15</v>
      </c>
      <c r="F6" s="9" t="s">
        <v>18</v>
      </c>
      <c r="G6" s="9" t="s">
        <v>19</v>
      </c>
      <c r="H6" s="9" t="s">
        <v>21</v>
      </c>
      <c r="I6" s="9" t="s">
        <v>22</v>
      </c>
    </row>
    <row r="7" ht="57.75" customHeight="1">
      <c r="A7" s="12" t="s">
        <v>23</v>
      </c>
      <c r="B7" s="14" t="s">
        <v>29</v>
      </c>
      <c r="C7" s="15" t="s">
        <v>34</v>
      </c>
      <c r="D7" s="14" t="s">
        <v>42</v>
      </c>
      <c r="E7" s="14" t="s">
        <v>43</v>
      </c>
      <c r="F7" s="14" t="s">
        <v>45</v>
      </c>
      <c r="G7" s="14" t="s">
        <v>48</v>
      </c>
      <c r="H7" s="14" t="s">
        <v>51</v>
      </c>
      <c r="I7" s="14" t="s">
        <v>54</v>
      </c>
    </row>
    <row r="8" ht="57.75" customHeight="1">
      <c r="A8" s="12" t="s">
        <v>57</v>
      </c>
      <c r="B8" s="14" t="s">
        <v>59</v>
      </c>
      <c r="C8" s="15" t="s">
        <v>34</v>
      </c>
      <c r="D8" s="14" t="s">
        <v>60</v>
      </c>
      <c r="E8" s="14" t="s">
        <v>61</v>
      </c>
      <c r="F8" s="14" t="s">
        <v>62</v>
      </c>
      <c r="G8" s="14" t="s">
        <v>64</v>
      </c>
      <c r="H8" s="14" t="s">
        <v>65</v>
      </c>
      <c r="I8" s="14" t="s">
        <v>68</v>
      </c>
    </row>
    <row r="9" ht="84.0" customHeight="1">
      <c r="A9" s="12" t="s">
        <v>72</v>
      </c>
      <c r="B9" s="14" t="s">
        <v>74</v>
      </c>
      <c r="C9" s="15" t="s">
        <v>34</v>
      </c>
      <c r="D9" s="14" t="s">
        <v>77</v>
      </c>
      <c r="E9" s="14" t="s">
        <v>78</v>
      </c>
      <c r="F9" s="14" t="s">
        <v>80</v>
      </c>
      <c r="G9" s="14" t="s">
        <v>83</v>
      </c>
      <c r="H9" s="14" t="s">
        <v>85</v>
      </c>
      <c r="I9" s="14" t="s">
        <v>87</v>
      </c>
    </row>
    <row r="10" ht="57.75" customHeight="1">
      <c r="A10" s="12" t="s">
        <v>93</v>
      </c>
      <c r="B10" s="14" t="s">
        <v>95</v>
      </c>
      <c r="C10" s="15" t="s">
        <v>34</v>
      </c>
      <c r="D10" s="14" t="s">
        <v>77</v>
      </c>
      <c r="E10" s="14" t="s">
        <v>78</v>
      </c>
      <c r="F10" s="14" t="s">
        <v>102</v>
      </c>
      <c r="G10" s="14" t="s">
        <v>105</v>
      </c>
      <c r="H10" s="14" t="s">
        <v>107</v>
      </c>
      <c r="I10" s="14" t="s">
        <v>110</v>
      </c>
    </row>
    <row r="11" ht="45.0" customHeight="1">
      <c r="A11" s="12" t="s">
        <v>113</v>
      </c>
      <c r="B11" s="14" t="s">
        <v>116</v>
      </c>
      <c r="C11" s="16" t="s">
        <v>120</v>
      </c>
      <c r="D11" s="14" t="s">
        <v>77</v>
      </c>
      <c r="E11" s="14" t="s">
        <v>78</v>
      </c>
      <c r="F11" s="14" t="s">
        <v>102</v>
      </c>
      <c r="G11" s="14" t="s">
        <v>170</v>
      </c>
      <c r="H11" s="14" t="s">
        <v>171</v>
      </c>
      <c r="I11" s="14" t="s">
        <v>172</v>
      </c>
    </row>
    <row r="12" ht="70.5" customHeight="1">
      <c r="A12" s="12" t="s">
        <v>175</v>
      </c>
      <c r="B12" s="14" t="s">
        <v>176</v>
      </c>
      <c r="C12" s="15" t="s">
        <v>34</v>
      </c>
      <c r="D12" s="14" t="s">
        <v>179</v>
      </c>
      <c r="E12" s="14" t="s">
        <v>180</v>
      </c>
      <c r="F12" s="14" t="s">
        <v>181</v>
      </c>
      <c r="G12" s="14" t="s">
        <v>182</v>
      </c>
      <c r="H12" s="14" t="s">
        <v>183</v>
      </c>
      <c r="I12" s="14" t="s">
        <v>184</v>
      </c>
    </row>
    <row r="13" ht="57.75" customHeight="1">
      <c r="A13" s="12" t="s">
        <v>185</v>
      </c>
      <c r="B13" s="14" t="s">
        <v>186</v>
      </c>
      <c r="C13" s="15" t="s">
        <v>34</v>
      </c>
      <c r="D13" s="14" t="s">
        <v>187</v>
      </c>
      <c r="E13" s="14" t="s">
        <v>188</v>
      </c>
      <c r="F13" s="14" t="s">
        <v>189</v>
      </c>
      <c r="G13" s="14" t="s">
        <v>190</v>
      </c>
      <c r="H13" s="14" t="s">
        <v>191</v>
      </c>
      <c r="I13" s="14" t="s">
        <v>192</v>
      </c>
    </row>
    <row r="14" ht="70.5" customHeight="1">
      <c r="A14" s="12" t="s">
        <v>193</v>
      </c>
      <c r="B14" s="14" t="s">
        <v>194</v>
      </c>
      <c r="C14" s="15" t="s">
        <v>34</v>
      </c>
      <c r="D14" s="14" t="s">
        <v>195</v>
      </c>
      <c r="E14" s="14" t="s">
        <v>196</v>
      </c>
      <c r="F14" s="14" t="s">
        <v>197</v>
      </c>
      <c r="G14" s="14" t="s">
        <v>198</v>
      </c>
      <c r="H14" s="14" t="s">
        <v>199</v>
      </c>
      <c r="I14" s="14" t="s">
        <v>200</v>
      </c>
    </row>
    <row r="15" ht="57.75" customHeight="1">
      <c r="A15" s="12" t="s">
        <v>201</v>
      </c>
      <c r="B15" s="14" t="s">
        <v>202</v>
      </c>
      <c r="C15" s="16" t="s">
        <v>120</v>
      </c>
      <c r="D15" s="14" t="s">
        <v>203</v>
      </c>
      <c r="E15" s="14" t="s">
        <v>43</v>
      </c>
      <c r="F15" s="14" t="s">
        <v>204</v>
      </c>
      <c r="G15" s="14" t="s">
        <v>205</v>
      </c>
      <c r="H15" s="14" t="s">
        <v>206</v>
      </c>
      <c r="I15" s="14" t="s">
        <v>207</v>
      </c>
    </row>
    <row r="16" ht="70.5" customHeight="1">
      <c r="A16" s="12" t="s">
        <v>208</v>
      </c>
      <c r="B16" s="14" t="s">
        <v>209</v>
      </c>
      <c r="C16" s="16" t="s">
        <v>120</v>
      </c>
      <c r="D16" s="14" t="s">
        <v>210</v>
      </c>
      <c r="E16" s="14" t="s">
        <v>61</v>
      </c>
      <c r="F16" s="14" t="s">
        <v>211</v>
      </c>
      <c r="G16" s="14" t="s">
        <v>212</v>
      </c>
      <c r="H16" s="14" t="s">
        <v>213</v>
      </c>
      <c r="I16" s="14" t="s">
        <v>214</v>
      </c>
    </row>
    <row r="17" ht="70.5" customHeight="1">
      <c r="A17" s="12" t="s">
        <v>215</v>
      </c>
      <c r="B17" s="14" t="s">
        <v>216</v>
      </c>
      <c r="C17" s="16" t="s">
        <v>120</v>
      </c>
      <c r="D17" s="14" t="s">
        <v>217</v>
      </c>
      <c r="E17" s="14" t="s">
        <v>218</v>
      </c>
      <c r="F17" s="14" t="s">
        <v>219</v>
      </c>
      <c r="G17" s="14" t="s">
        <v>220</v>
      </c>
      <c r="H17" s="14" t="s">
        <v>221</v>
      </c>
      <c r="I17" s="14" t="s">
        <v>222</v>
      </c>
    </row>
    <row r="18" ht="45.0" customHeight="1">
      <c r="A18" s="12" t="s">
        <v>223</v>
      </c>
      <c r="B18" s="14" t="s">
        <v>224</v>
      </c>
      <c r="C18" s="18" t="s">
        <v>225</v>
      </c>
      <c r="D18" s="14" t="s">
        <v>226</v>
      </c>
      <c r="E18" s="14" t="s">
        <v>227</v>
      </c>
      <c r="F18" s="14" t="s">
        <v>228</v>
      </c>
      <c r="G18" s="14" t="s">
        <v>229</v>
      </c>
      <c r="H18" s="14" t="s">
        <v>230</v>
      </c>
      <c r="I18" s="14" t="s">
        <v>231</v>
      </c>
    </row>
    <row r="19" ht="31.5" customHeight="1">
      <c r="A19" s="12" t="s">
        <v>232</v>
      </c>
      <c r="B19" s="14" t="s">
        <v>233</v>
      </c>
      <c r="C19" s="18" t="s">
        <v>225</v>
      </c>
      <c r="D19" s="14" t="s">
        <v>234</v>
      </c>
      <c r="E19" s="14" t="s">
        <v>218</v>
      </c>
      <c r="F19" s="14" t="s">
        <v>235</v>
      </c>
      <c r="G19" s="14" t="s">
        <v>236</v>
      </c>
      <c r="H19" s="14" t="s">
        <v>237</v>
      </c>
      <c r="I19" s="14" t="s">
        <v>238</v>
      </c>
    </row>
    <row r="21" ht="31.5" customHeight="1">
      <c r="A21" s="17" t="s">
        <v>239</v>
      </c>
      <c r="B21" s="7"/>
      <c r="C21" s="7"/>
      <c r="D21" s="7"/>
      <c r="E21" s="7"/>
      <c r="F21" s="7"/>
      <c r="G21" s="7"/>
      <c r="H21" s="7"/>
      <c r="I21"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I1"/>
    <mergeCell ref="A2:I2"/>
    <mergeCell ref="A4:I4"/>
    <mergeCell ref="A21:I2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6.0"/>
    <col customWidth="1" min="2" max="6" width="30.0"/>
    <col customWidth="1" min="7" max="26" width="8.71"/>
  </cols>
  <sheetData>
    <row r="1" ht="31.5" customHeight="1">
      <c r="A1" s="1" t="s">
        <v>6</v>
      </c>
      <c r="B1" s="2"/>
      <c r="C1" s="2"/>
      <c r="D1" s="2"/>
      <c r="E1" s="2"/>
      <c r="F1" s="3"/>
    </row>
    <row r="2" ht="25.5" customHeight="1">
      <c r="A2" s="4" t="s">
        <v>10</v>
      </c>
      <c r="B2" s="2"/>
      <c r="C2" s="2"/>
      <c r="D2" s="2"/>
      <c r="E2" s="2"/>
      <c r="F2" s="3"/>
    </row>
    <row r="4" ht="24.0" customHeight="1">
      <c r="A4" s="10" t="s">
        <v>16</v>
      </c>
      <c r="B4" s="2"/>
      <c r="C4" s="2"/>
      <c r="D4" s="2"/>
      <c r="E4" s="2"/>
      <c r="F4" s="3"/>
    </row>
    <row r="5" ht="31.5" customHeight="1">
      <c r="A5" s="11" t="s">
        <v>25</v>
      </c>
      <c r="B5" s="13" t="s">
        <v>30</v>
      </c>
      <c r="C5" s="7"/>
      <c r="D5" s="7"/>
      <c r="E5" s="7"/>
      <c r="F5" s="7"/>
    </row>
    <row r="6" ht="45.0" customHeight="1">
      <c r="A6" s="11" t="s">
        <v>37</v>
      </c>
      <c r="B6" s="13" t="s">
        <v>40</v>
      </c>
      <c r="C6" s="7"/>
      <c r="D6" s="7"/>
      <c r="E6" s="7"/>
      <c r="F6" s="7"/>
    </row>
    <row r="7" ht="45.0" customHeight="1">
      <c r="A7" s="11" t="s">
        <v>55</v>
      </c>
      <c r="B7" s="13" t="s">
        <v>58</v>
      </c>
      <c r="C7" s="7"/>
      <c r="D7" s="7"/>
      <c r="E7" s="7"/>
      <c r="F7" s="7"/>
    </row>
    <row r="8" ht="31.5" customHeight="1">
      <c r="A8" s="11" t="s">
        <v>66</v>
      </c>
      <c r="B8" s="13" t="s">
        <v>70</v>
      </c>
      <c r="C8" s="7"/>
      <c r="D8" s="7"/>
      <c r="E8" s="7"/>
      <c r="F8" s="7"/>
    </row>
    <row r="9" ht="45.0" customHeight="1">
      <c r="A9" s="11" t="s">
        <v>82</v>
      </c>
      <c r="B9" s="13" t="s">
        <v>88</v>
      </c>
      <c r="C9" s="7"/>
      <c r="D9" s="7"/>
      <c r="E9" s="7"/>
      <c r="F9" s="7"/>
    </row>
    <row r="10" ht="31.5" customHeight="1">
      <c r="A10" s="11" t="s">
        <v>98</v>
      </c>
      <c r="B10" s="13" t="s">
        <v>101</v>
      </c>
      <c r="C10" s="7"/>
      <c r="D10" s="7"/>
      <c r="E10" s="7"/>
      <c r="F10" s="7"/>
    </row>
    <row r="11" ht="31.5" customHeight="1">
      <c r="A11" s="11" t="s">
        <v>112</v>
      </c>
      <c r="B11" s="13" t="s">
        <v>115</v>
      </c>
      <c r="C11" s="7"/>
      <c r="D11" s="7"/>
      <c r="E11" s="7"/>
      <c r="F11" s="7"/>
    </row>
    <row r="12" ht="31.5" customHeight="1">
      <c r="A12" s="11" t="s">
        <v>124</v>
      </c>
      <c r="B12" s="13" t="s">
        <v>127</v>
      </c>
      <c r="C12" s="7"/>
      <c r="D12" s="7"/>
      <c r="E12" s="7"/>
      <c r="F12" s="7"/>
    </row>
    <row r="14" ht="24.0" customHeight="1">
      <c r="A14" s="5" t="s">
        <v>141</v>
      </c>
      <c r="B14" s="2"/>
      <c r="C14" s="2"/>
      <c r="D14" s="2"/>
      <c r="E14" s="2"/>
      <c r="F14" s="3"/>
    </row>
    <row r="15" ht="57.75" customHeight="1">
      <c r="A15" s="6" t="s">
        <v>156</v>
      </c>
      <c r="B15" s="7"/>
      <c r="C15" s="7"/>
      <c r="D15" s="7"/>
      <c r="E15" s="7"/>
      <c r="F15"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9:F9"/>
    <mergeCell ref="B10:F10"/>
    <mergeCell ref="B11:F11"/>
    <mergeCell ref="B12:F12"/>
    <mergeCell ref="A14:F14"/>
    <mergeCell ref="A15:F15"/>
    <mergeCell ref="A1:F1"/>
    <mergeCell ref="A2:F2"/>
    <mergeCell ref="A4:F4"/>
    <mergeCell ref="B5:F5"/>
    <mergeCell ref="B6:F6"/>
    <mergeCell ref="B7:F7"/>
    <mergeCell ref="B8:F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2.0"/>
    <col customWidth="1" min="3" max="4" width="54.0"/>
    <col customWidth="1" min="5" max="26" width="8.71"/>
  </cols>
  <sheetData>
    <row r="1" ht="31.5" customHeight="1">
      <c r="A1" s="1" t="s">
        <v>8</v>
      </c>
      <c r="B1" s="2"/>
      <c r="C1" s="2"/>
      <c r="D1" s="3"/>
    </row>
    <row r="2" ht="31.5" customHeight="1">
      <c r="A2" s="4" t="s">
        <v>17</v>
      </c>
      <c r="B2" s="2"/>
      <c r="C2" s="2"/>
      <c r="D2" s="3"/>
    </row>
    <row r="4" ht="30.0" customHeight="1">
      <c r="A4" s="9" t="s">
        <v>24</v>
      </c>
      <c r="B4" s="9" t="s">
        <v>27</v>
      </c>
      <c r="C4" s="9" t="s">
        <v>28</v>
      </c>
      <c r="D4" s="9" t="s">
        <v>31</v>
      </c>
    </row>
    <row r="5" ht="31.5" customHeight="1">
      <c r="A5" s="12" t="s">
        <v>32</v>
      </c>
      <c r="B5" s="14" t="s">
        <v>33</v>
      </c>
      <c r="C5" s="14" t="s">
        <v>36</v>
      </c>
      <c r="D5" s="14" t="s">
        <v>39</v>
      </c>
    </row>
    <row r="6" ht="45.0" customHeight="1">
      <c r="A6" s="12" t="s">
        <v>41</v>
      </c>
      <c r="B6" s="14" t="s">
        <v>44</v>
      </c>
      <c r="C6" s="14" t="s">
        <v>46</v>
      </c>
      <c r="D6" s="14" t="s">
        <v>47</v>
      </c>
    </row>
    <row r="7" ht="45.0" customHeight="1">
      <c r="A7" s="12" t="s">
        <v>50</v>
      </c>
      <c r="B7" s="14" t="s">
        <v>53</v>
      </c>
      <c r="C7" s="14" t="s">
        <v>56</v>
      </c>
      <c r="D7" s="14" t="s">
        <v>67</v>
      </c>
    </row>
    <row r="8" ht="45.0" customHeight="1">
      <c r="A8" s="12" t="s">
        <v>71</v>
      </c>
      <c r="B8" s="14" t="s">
        <v>73</v>
      </c>
      <c r="C8" s="14" t="s">
        <v>75</v>
      </c>
      <c r="D8" s="14" t="s">
        <v>76</v>
      </c>
    </row>
    <row r="9" ht="45.0" customHeight="1">
      <c r="A9" s="12" t="s">
        <v>79</v>
      </c>
      <c r="B9" s="14" t="s">
        <v>81</v>
      </c>
      <c r="C9" s="14" t="s">
        <v>84</v>
      </c>
      <c r="D9" s="14" t="s">
        <v>86</v>
      </c>
    </row>
    <row r="10" ht="31.5" customHeight="1">
      <c r="A10" s="12" t="s">
        <v>90</v>
      </c>
      <c r="B10" s="14" t="s">
        <v>92</v>
      </c>
      <c r="C10" s="14" t="s">
        <v>94</v>
      </c>
      <c r="D10" s="14" t="s">
        <v>96</v>
      </c>
    </row>
    <row r="11" ht="31.5" customHeight="1">
      <c r="A11" s="12" t="s">
        <v>100</v>
      </c>
      <c r="B11" s="14" t="s">
        <v>103</v>
      </c>
      <c r="C11" s="14" t="s">
        <v>104</v>
      </c>
      <c r="D11" s="14" t="s">
        <v>106</v>
      </c>
    </row>
    <row r="12" ht="45.0" customHeight="1">
      <c r="A12" s="12" t="s">
        <v>108</v>
      </c>
      <c r="B12" s="14" t="s">
        <v>109</v>
      </c>
      <c r="C12" s="14" t="s">
        <v>114</v>
      </c>
      <c r="D12" s="14" t="s">
        <v>117</v>
      </c>
    </row>
    <row r="13" ht="31.5" customHeight="1">
      <c r="A13" s="12" t="s">
        <v>119</v>
      </c>
      <c r="B13" s="14" t="s">
        <v>121</v>
      </c>
      <c r="C13" s="14" t="s">
        <v>122</v>
      </c>
      <c r="D13" s="14" t="s">
        <v>123</v>
      </c>
    </row>
    <row r="14" ht="45.0" customHeight="1">
      <c r="A14" s="12" t="s">
        <v>125</v>
      </c>
      <c r="B14" s="14" t="s">
        <v>126</v>
      </c>
      <c r="C14" s="14" t="s">
        <v>128</v>
      </c>
      <c r="D14" s="14" t="s">
        <v>129</v>
      </c>
    </row>
    <row r="15" ht="57.75" customHeight="1">
      <c r="A15" s="12" t="s">
        <v>130</v>
      </c>
      <c r="B15" s="14" t="s">
        <v>131</v>
      </c>
      <c r="C15" s="14" t="s">
        <v>132</v>
      </c>
      <c r="D15" s="14" t="s">
        <v>133</v>
      </c>
    </row>
    <row r="16" ht="57.75" customHeight="1">
      <c r="A16" s="12" t="s">
        <v>134</v>
      </c>
      <c r="B16" s="14" t="s">
        <v>135</v>
      </c>
      <c r="C16" s="14" t="s">
        <v>136</v>
      </c>
      <c r="D16" s="14" t="s">
        <v>137</v>
      </c>
    </row>
    <row r="17" ht="45.0" customHeight="1">
      <c r="A17" s="12" t="s">
        <v>138</v>
      </c>
      <c r="B17" s="14" t="s">
        <v>139</v>
      </c>
      <c r="C17" s="14" t="s">
        <v>140</v>
      </c>
      <c r="D17" s="14" t="s">
        <v>142</v>
      </c>
    </row>
    <row r="18" ht="31.5" customHeight="1">
      <c r="A18" s="12" t="s">
        <v>143</v>
      </c>
      <c r="B18" s="14" t="s">
        <v>144</v>
      </c>
      <c r="C18" s="14" t="s">
        <v>145</v>
      </c>
      <c r="D18" s="14" t="s">
        <v>146</v>
      </c>
    </row>
    <row r="19" ht="45.0" customHeight="1">
      <c r="A19" s="12" t="s">
        <v>147</v>
      </c>
      <c r="B19" s="14" t="s">
        <v>148</v>
      </c>
      <c r="C19" s="14" t="s">
        <v>149</v>
      </c>
      <c r="D19" s="14" t="s">
        <v>150</v>
      </c>
    </row>
    <row r="20" ht="31.5" customHeight="1">
      <c r="A20" s="12" t="s">
        <v>151</v>
      </c>
      <c r="B20" s="14" t="s">
        <v>152</v>
      </c>
      <c r="C20" s="14" t="s">
        <v>153</v>
      </c>
      <c r="D20" s="14" t="s">
        <v>154</v>
      </c>
    </row>
    <row r="21" ht="31.5" customHeight="1">
      <c r="A21" s="12" t="s">
        <v>155</v>
      </c>
      <c r="B21" s="14" t="s">
        <v>157</v>
      </c>
      <c r="C21" s="14" t="s">
        <v>158</v>
      </c>
      <c r="D21" s="14" t="s">
        <v>159</v>
      </c>
    </row>
    <row r="22" ht="31.5" customHeight="1">
      <c r="A22" s="12" t="s">
        <v>160</v>
      </c>
      <c r="B22" s="14" t="s">
        <v>161</v>
      </c>
      <c r="C22" s="14" t="s">
        <v>162</v>
      </c>
      <c r="D22" s="14" t="s">
        <v>163</v>
      </c>
    </row>
    <row r="23" ht="15.75" customHeight="1"/>
    <row r="24" ht="45.0" customHeight="1">
      <c r="A24" s="17" t="s">
        <v>164</v>
      </c>
      <c r="B24" s="7"/>
      <c r="C24" s="7"/>
      <c r="D24" s="8"/>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24:D24"/>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8.0"/>
    <col customWidth="1" min="2" max="6" width="30.0"/>
    <col customWidth="1" min="7" max="26" width="8.71"/>
  </cols>
  <sheetData>
    <row r="1" ht="31.5" customHeight="1">
      <c r="A1" s="1" t="s">
        <v>240</v>
      </c>
      <c r="B1" s="2"/>
      <c r="C1" s="2"/>
      <c r="D1" s="2"/>
      <c r="E1" s="2"/>
      <c r="F1" s="3"/>
    </row>
    <row r="2" ht="31.5" customHeight="1">
      <c r="A2" s="4" t="s">
        <v>241</v>
      </c>
      <c r="B2" s="2"/>
      <c r="C2" s="2"/>
      <c r="D2" s="2"/>
      <c r="E2" s="2"/>
      <c r="F2" s="3"/>
    </row>
    <row r="4" ht="24.0" customHeight="1">
      <c r="A4" s="10" t="s">
        <v>243</v>
      </c>
      <c r="B4" s="2"/>
      <c r="C4" s="2"/>
      <c r="D4" s="2"/>
      <c r="E4" s="2"/>
      <c r="F4" s="3"/>
    </row>
    <row r="5" ht="45.0" customHeight="1">
      <c r="A5" s="11" t="s">
        <v>244</v>
      </c>
      <c r="B5" s="13" t="s">
        <v>246</v>
      </c>
      <c r="C5" s="7"/>
      <c r="D5" s="7"/>
      <c r="E5" s="7"/>
      <c r="F5" s="7"/>
    </row>
    <row r="6" ht="45.0" customHeight="1">
      <c r="A6" s="11" t="s">
        <v>247</v>
      </c>
      <c r="B6" s="13" t="s">
        <v>248</v>
      </c>
      <c r="C6" s="7"/>
      <c r="D6" s="7"/>
      <c r="E6" s="7"/>
      <c r="F6" s="7"/>
    </row>
    <row r="7" ht="45.0" customHeight="1">
      <c r="A7" s="11" t="s">
        <v>252</v>
      </c>
      <c r="B7" s="13" t="s">
        <v>254</v>
      </c>
      <c r="C7" s="7"/>
      <c r="D7" s="7"/>
      <c r="E7" s="7"/>
      <c r="F7" s="7"/>
    </row>
    <row r="8" ht="31.5" customHeight="1">
      <c r="A8" s="11" t="s">
        <v>257</v>
      </c>
      <c r="B8" s="13" t="s">
        <v>258</v>
      </c>
      <c r="C8" s="7"/>
      <c r="D8" s="7"/>
      <c r="E8" s="7"/>
      <c r="F8" s="7"/>
    </row>
    <row r="9" ht="31.5" customHeight="1">
      <c r="A9" s="11" t="s">
        <v>260</v>
      </c>
      <c r="B9" s="13" t="s">
        <v>262</v>
      </c>
      <c r="C9" s="7"/>
      <c r="D9" s="7"/>
      <c r="E9" s="7"/>
      <c r="F9" s="7"/>
    </row>
    <row r="10" ht="31.5" customHeight="1">
      <c r="A10" s="11" t="s">
        <v>267</v>
      </c>
      <c r="B10" s="13" t="s">
        <v>269</v>
      </c>
      <c r="C10" s="7"/>
      <c r="D10" s="7"/>
      <c r="E10" s="7"/>
      <c r="F10" s="7"/>
    </row>
    <row r="12" ht="24.0" customHeight="1">
      <c r="A12" s="5" t="s">
        <v>282</v>
      </c>
      <c r="B12" s="2"/>
      <c r="C12" s="2"/>
      <c r="D12" s="2"/>
      <c r="E12" s="2"/>
      <c r="F12" s="3"/>
    </row>
    <row r="13" ht="45.0" customHeight="1">
      <c r="A13" s="6" t="s">
        <v>294</v>
      </c>
      <c r="B13" s="7"/>
      <c r="C13" s="7"/>
      <c r="D13" s="7"/>
      <c r="E13" s="7"/>
      <c r="F13" s="8"/>
    </row>
    <row r="15" ht="24.0" customHeight="1">
      <c r="A15" s="10" t="s">
        <v>299</v>
      </c>
      <c r="B15" s="2"/>
      <c r="C15" s="2"/>
      <c r="D15" s="2"/>
      <c r="E15" s="2"/>
      <c r="F15" s="3"/>
    </row>
    <row r="16" ht="70.5" customHeight="1">
      <c r="A16" s="19" t="s">
        <v>302</v>
      </c>
      <c r="B16" s="7"/>
      <c r="C16" s="7"/>
      <c r="D16" s="7"/>
      <c r="E16" s="7"/>
      <c r="F16"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9:F9"/>
    <mergeCell ref="B10:F10"/>
    <mergeCell ref="A12:F12"/>
    <mergeCell ref="A13:F13"/>
    <mergeCell ref="A15:F15"/>
    <mergeCell ref="A16:F16"/>
    <mergeCell ref="A1:F1"/>
    <mergeCell ref="A2:F2"/>
    <mergeCell ref="A4:F4"/>
    <mergeCell ref="B5:F5"/>
    <mergeCell ref="B6:F6"/>
    <mergeCell ref="B7:F7"/>
    <mergeCell ref="B8:F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30.0"/>
    <col customWidth="1" min="3" max="3" width="62.0"/>
    <col customWidth="1" min="4" max="4" width="46.0"/>
    <col customWidth="1" min="5" max="5" width="42.0"/>
    <col customWidth="1" min="6" max="26" width="8.71"/>
  </cols>
  <sheetData>
    <row r="1" ht="31.5" customHeight="1">
      <c r="A1" s="1" t="s">
        <v>242</v>
      </c>
      <c r="B1" s="2"/>
      <c r="C1" s="2"/>
      <c r="D1" s="2"/>
      <c r="E1" s="3"/>
    </row>
    <row r="2" ht="31.5" customHeight="1">
      <c r="A2" s="4" t="s">
        <v>245</v>
      </c>
      <c r="B2" s="2"/>
      <c r="C2" s="2"/>
      <c r="D2" s="2"/>
      <c r="E2" s="3"/>
    </row>
    <row r="4" ht="30.0" customHeight="1">
      <c r="A4" s="9" t="s">
        <v>249</v>
      </c>
      <c r="B4" s="9" t="s">
        <v>250</v>
      </c>
      <c r="C4" s="9" t="s">
        <v>251</v>
      </c>
      <c r="D4" s="9" t="s">
        <v>253</v>
      </c>
      <c r="E4" s="9" t="s">
        <v>255</v>
      </c>
    </row>
    <row r="5" ht="84.0" customHeight="1">
      <c r="A5" s="12" t="s">
        <v>256</v>
      </c>
      <c r="B5" s="14" t="s">
        <v>259</v>
      </c>
      <c r="C5" s="14" t="s">
        <v>261</v>
      </c>
      <c r="D5" s="14" t="s">
        <v>263</v>
      </c>
      <c r="E5" s="14" t="s">
        <v>264</v>
      </c>
    </row>
    <row r="6" ht="84.0" customHeight="1">
      <c r="A6" s="12" t="s">
        <v>265</v>
      </c>
      <c r="B6" s="14" t="s">
        <v>266</v>
      </c>
      <c r="C6" s="14" t="s">
        <v>268</v>
      </c>
      <c r="D6" s="14" t="s">
        <v>270</v>
      </c>
      <c r="E6" s="14" t="s">
        <v>271</v>
      </c>
    </row>
    <row r="7" ht="70.5" customHeight="1">
      <c r="A7" s="12" t="s">
        <v>272</v>
      </c>
      <c r="B7" s="14" t="s">
        <v>273</v>
      </c>
      <c r="C7" s="14" t="s">
        <v>274</v>
      </c>
      <c r="D7" s="14" t="s">
        <v>275</v>
      </c>
      <c r="E7" s="14" t="s">
        <v>276</v>
      </c>
    </row>
    <row r="8" ht="57.75" customHeight="1">
      <c r="A8" s="12" t="s">
        <v>277</v>
      </c>
      <c r="B8" s="14" t="s">
        <v>278</v>
      </c>
      <c r="C8" s="14" t="s">
        <v>279</v>
      </c>
      <c r="D8" s="14" t="s">
        <v>280</v>
      </c>
      <c r="E8" s="14" t="s">
        <v>281</v>
      </c>
    </row>
    <row r="9" ht="70.5" customHeight="1">
      <c r="A9" s="12" t="s">
        <v>283</v>
      </c>
      <c r="B9" s="14" t="s">
        <v>284</v>
      </c>
      <c r="C9" s="14" t="s">
        <v>285</v>
      </c>
      <c r="D9" s="14" t="s">
        <v>286</v>
      </c>
      <c r="E9" s="14" t="s">
        <v>287</v>
      </c>
    </row>
    <row r="10" ht="84.0" customHeight="1">
      <c r="A10" s="12" t="s">
        <v>288</v>
      </c>
      <c r="B10" s="14" t="s">
        <v>289</v>
      </c>
      <c r="C10" s="14" t="s">
        <v>290</v>
      </c>
      <c r="D10" s="14" t="s">
        <v>291</v>
      </c>
      <c r="E10" s="14" t="s">
        <v>292</v>
      </c>
    </row>
    <row r="11" ht="84.0" customHeight="1">
      <c r="A11" s="12" t="s">
        <v>293</v>
      </c>
      <c r="B11" s="14" t="s">
        <v>124</v>
      </c>
      <c r="C11" s="14" t="s">
        <v>295</v>
      </c>
      <c r="D11" s="14" t="s">
        <v>296</v>
      </c>
      <c r="E11" s="14" t="s">
        <v>297</v>
      </c>
    </row>
    <row r="13" ht="45.0" customHeight="1">
      <c r="A13" s="17" t="s">
        <v>300</v>
      </c>
      <c r="B13" s="7"/>
      <c r="C13" s="7"/>
      <c r="D13" s="7"/>
      <c r="E13"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E2"/>
    <mergeCell ref="A13:E1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34.0"/>
    <col customWidth="1" min="2" max="2" width="104.0"/>
    <col customWidth="1" min="3" max="26" width="8.71"/>
  </cols>
  <sheetData>
    <row r="1" ht="31.5" customHeight="1">
      <c r="A1" s="1" t="s">
        <v>298</v>
      </c>
      <c r="B1" s="3"/>
    </row>
    <row r="2" ht="31.5" customHeight="1">
      <c r="A2" s="4" t="s">
        <v>301</v>
      </c>
      <c r="B2" s="3"/>
    </row>
    <row r="4" ht="24.0" customHeight="1">
      <c r="A4" s="10" t="s">
        <v>303</v>
      </c>
      <c r="B4" s="3"/>
    </row>
    <row r="5" ht="30.0" customHeight="1">
      <c r="A5" s="9" t="s">
        <v>304</v>
      </c>
      <c r="B5" s="9" t="s">
        <v>305</v>
      </c>
    </row>
    <row r="6" ht="84.0" customHeight="1">
      <c r="A6" s="12" t="s">
        <v>306</v>
      </c>
      <c r="B6" s="14" t="s">
        <v>307</v>
      </c>
    </row>
    <row r="7" ht="70.5" customHeight="1">
      <c r="A7" s="12" t="s">
        <v>308</v>
      </c>
      <c r="B7" s="14" t="s">
        <v>309</v>
      </c>
    </row>
    <row r="8" ht="45.0" customHeight="1">
      <c r="A8" s="12" t="s">
        <v>310</v>
      </c>
      <c r="B8" s="14" t="s">
        <v>311</v>
      </c>
    </row>
    <row r="9" ht="31.5" customHeight="1">
      <c r="A9" s="12" t="s">
        <v>312</v>
      </c>
      <c r="B9" s="14" t="s">
        <v>313</v>
      </c>
    </row>
    <row r="10" ht="45.0" customHeight="1">
      <c r="A10" s="12" t="s">
        <v>314</v>
      </c>
      <c r="B10" s="14" t="s">
        <v>315</v>
      </c>
    </row>
    <row r="11" ht="45.0" customHeight="1">
      <c r="A11" s="12" t="s">
        <v>316</v>
      </c>
      <c r="B11" s="14" t="s">
        <v>317</v>
      </c>
    </row>
    <row r="12" ht="31.5" customHeight="1">
      <c r="A12" s="12" t="s">
        <v>318</v>
      </c>
      <c r="B12" s="14" t="s">
        <v>319</v>
      </c>
    </row>
    <row r="13" ht="31.5" customHeight="1">
      <c r="A13" s="12" t="s">
        <v>320</v>
      </c>
      <c r="B13" s="14" t="s">
        <v>321</v>
      </c>
    </row>
    <row r="14" ht="31.5" customHeight="1">
      <c r="A14" s="12" t="s">
        <v>322</v>
      </c>
      <c r="B14" s="14" t="s">
        <v>323</v>
      </c>
    </row>
    <row r="15" ht="31.5" customHeight="1">
      <c r="A15" s="12" t="s">
        <v>324</v>
      </c>
      <c r="B15" s="14" t="s">
        <v>325</v>
      </c>
    </row>
    <row r="17" ht="45.0" customHeight="1">
      <c r="A17" s="17" t="s">
        <v>326</v>
      </c>
      <c r="B17" s="8"/>
    </row>
    <row r="19" ht="24.0" customHeight="1">
      <c r="A19" s="5" t="s">
        <v>327</v>
      </c>
      <c r="B19" s="3"/>
    </row>
    <row r="20" ht="31.5" customHeight="1">
      <c r="A20" s="11" t="s">
        <v>328</v>
      </c>
      <c r="B20" s="14" t="s">
        <v>329</v>
      </c>
    </row>
    <row r="21" ht="31.5" customHeight="1">
      <c r="A21" s="11" t="s">
        <v>328</v>
      </c>
      <c r="B21" s="14" t="s">
        <v>330</v>
      </c>
    </row>
    <row r="22" ht="31.5" customHeight="1">
      <c r="A22" s="11" t="s">
        <v>328</v>
      </c>
      <c r="B22" s="14" t="s">
        <v>331</v>
      </c>
    </row>
    <row r="23" ht="31.5" customHeight="1">
      <c r="A23" s="11" t="s">
        <v>328</v>
      </c>
      <c r="B23" s="14" t="s">
        <v>332</v>
      </c>
    </row>
    <row r="24" ht="19.5" customHeight="1">
      <c r="A24" s="11" t="s">
        <v>328</v>
      </c>
      <c r="B24" s="14" t="s">
        <v>333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2:B2"/>
    <mergeCell ref="A4:B4"/>
    <mergeCell ref="A17:B17"/>
    <mergeCell ref="A19:B1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5.0"/>
    <col customWidth="1" min="2" max="2" width="30.0"/>
    <col customWidth="1" min="3" max="3" width="58.0"/>
    <col customWidth="1" min="4" max="4" width="50.0"/>
    <col customWidth="1" min="5" max="5" width="9.0"/>
    <col customWidth="1" min="6" max="6" width="10.0"/>
    <col customWidth="1" min="7" max="7" width="11.0"/>
    <col customWidth="1" min="8" max="26" width="8.71"/>
  </cols>
  <sheetData>
    <row r="1" ht="31.5" customHeight="1">
      <c r="A1" s="1" t="s">
        <v>337</v>
      </c>
      <c r="B1" s="2"/>
      <c r="C1" s="2"/>
      <c r="D1" s="2"/>
      <c r="E1" s="2"/>
      <c r="F1" s="2"/>
      <c r="G1" s="3"/>
    </row>
    <row r="2" ht="31.5" customHeight="1">
      <c r="A2" s="4" t="s">
        <v>350</v>
      </c>
      <c r="B2" s="2"/>
      <c r="C2" s="2"/>
      <c r="D2" s="2"/>
      <c r="E2" s="2"/>
      <c r="F2" s="2"/>
      <c r="G2" s="3"/>
    </row>
    <row r="4" ht="24.0" customHeight="1">
      <c r="A4" s="10" t="s">
        <v>367</v>
      </c>
      <c r="B4" s="2"/>
      <c r="C4" s="2"/>
      <c r="D4" s="2"/>
      <c r="E4" s="2"/>
      <c r="F4" s="2"/>
      <c r="G4" s="3"/>
    </row>
    <row r="5" ht="30.0" customHeight="1">
      <c r="A5" s="9" t="s">
        <v>381</v>
      </c>
      <c r="B5" s="9" t="s">
        <v>399</v>
      </c>
      <c r="C5" s="9" t="s">
        <v>403</v>
      </c>
      <c r="D5" s="9" t="s">
        <v>406</v>
      </c>
      <c r="E5" s="9" t="s">
        <v>408</v>
      </c>
      <c r="F5" s="9" t="s">
        <v>409</v>
      </c>
      <c r="G5" s="9" t="s">
        <v>411</v>
      </c>
    </row>
    <row r="6" ht="45.0" customHeight="1">
      <c r="A6" s="20">
        <v>1.0</v>
      </c>
      <c r="B6" s="12" t="s">
        <v>412</v>
      </c>
      <c r="C6" s="14" t="s">
        <v>413</v>
      </c>
      <c r="D6" s="14" t="s">
        <v>414</v>
      </c>
      <c r="E6" s="20">
        <v>28.0</v>
      </c>
      <c r="F6" s="21"/>
      <c r="G6" s="22" t="str">
        <f t="shared" ref="G6:G14" si="1">IF(F6="","",E6*F6/5)</f>
        <v/>
      </c>
    </row>
    <row r="7" ht="84.0" customHeight="1">
      <c r="A7" s="20">
        <v>2.0</v>
      </c>
      <c r="B7" s="12" t="s">
        <v>415</v>
      </c>
      <c r="C7" s="14" t="s">
        <v>416</v>
      </c>
      <c r="D7" s="14" t="s">
        <v>417</v>
      </c>
      <c r="E7" s="20">
        <v>12.0</v>
      </c>
      <c r="F7" s="21"/>
      <c r="G7" s="22" t="str">
        <f t="shared" si="1"/>
        <v/>
      </c>
    </row>
    <row r="8" ht="70.5" customHeight="1">
      <c r="A8" s="20">
        <v>3.0</v>
      </c>
      <c r="B8" s="12" t="s">
        <v>418</v>
      </c>
      <c r="C8" s="14" t="s">
        <v>419</v>
      </c>
      <c r="D8" s="14" t="s">
        <v>420</v>
      </c>
      <c r="E8" s="20">
        <v>10.0</v>
      </c>
      <c r="F8" s="21"/>
      <c r="G8" s="22" t="str">
        <f t="shared" si="1"/>
        <v/>
      </c>
    </row>
    <row r="9" ht="70.5" customHeight="1">
      <c r="A9" s="20">
        <v>4.0</v>
      </c>
      <c r="B9" s="12" t="s">
        <v>421</v>
      </c>
      <c r="C9" s="14" t="s">
        <v>422</v>
      </c>
      <c r="D9" s="14" t="s">
        <v>423</v>
      </c>
      <c r="E9" s="20">
        <v>12.0</v>
      </c>
      <c r="F9" s="21"/>
      <c r="G9" s="22" t="str">
        <f t="shared" si="1"/>
        <v/>
      </c>
    </row>
    <row r="10" ht="70.5" customHeight="1">
      <c r="A10" s="20">
        <v>5.0</v>
      </c>
      <c r="B10" s="12" t="s">
        <v>424</v>
      </c>
      <c r="C10" s="14" t="s">
        <v>425</v>
      </c>
      <c r="D10" s="14" t="s">
        <v>426</v>
      </c>
      <c r="E10" s="20">
        <v>10.0</v>
      </c>
      <c r="F10" s="21"/>
      <c r="G10" s="22" t="str">
        <f t="shared" si="1"/>
        <v/>
      </c>
    </row>
    <row r="11" ht="57.75" customHeight="1">
      <c r="A11" s="20">
        <v>6.0</v>
      </c>
      <c r="B11" s="12" t="s">
        <v>427</v>
      </c>
      <c r="C11" s="14" t="s">
        <v>428</v>
      </c>
      <c r="D11" s="14" t="s">
        <v>429</v>
      </c>
      <c r="E11" s="20">
        <v>8.0</v>
      </c>
      <c r="F11" s="21"/>
      <c r="G11" s="22" t="str">
        <f t="shared" si="1"/>
        <v/>
      </c>
    </row>
    <row r="12" ht="70.5" customHeight="1">
      <c r="A12" s="20">
        <v>7.0</v>
      </c>
      <c r="B12" s="12" t="s">
        <v>430</v>
      </c>
      <c r="C12" s="14" t="s">
        <v>431</v>
      </c>
      <c r="D12" s="14" t="s">
        <v>432</v>
      </c>
      <c r="E12" s="20">
        <v>8.0</v>
      </c>
      <c r="F12" s="21"/>
      <c r="G12" s="22" t="str">
        <f t="shared" si="1"/>
        <v/>
      </c>
    </row>
    <row r="13" ht="70.5" customHeight="1">
      <c r="A13" s="20">
        <v>8.0</v>
      </c>
      <c r="B13" s="12" t="s">
        <v>433</v>
      </c>
      <c r="C13" s="14" t="s">
        <v>434</v>
      </c>
      <c r="D13" s="14" t="s">
        <v>435</v>
      </c>
      <c r="E13" s="20">
        <v>8.0</v>
      </c>
      <c r="F13" s="21"/>
      <c r="G13" s="22" t="str">
        <f t="shared" si="1"/>
        <v/>
      </c>
    </row>
    <row r="14" ht="57.75" customHeight="1">
      <c r="A14" s="20">
        <v>9.0</v>
      </c>
      <c r="B14" s="12" t="s">
        <v>436</v>
      </c>
      <c r="C14" s="14" t="s">
        <v>437</v>
      </c>
      <c r="D14" s="14" t="s">
        <v>438</v>
      </c>
      <c r="E14" s="20">
        <v>4.0</v>
      </c>
      <c r="F14" s="21"/>
      <c r="G14" s="22" t="str">
        <f t="shared" si="1"/>
        <v/>
      </c>
    </row>
    <row r="15" ht="24.0" customHeight="1">
      <c r="A15" s="23"/>
      <c r="B15" s="24" t="s">
        <v>439</v>
      </c>
      <c r="C15" s="24"/>
      <c r="D15" s="24"/>
      <c r="E15" s="23">
        <f>SUM(E6:E14)</f>
        <v>100</v>
      </c>
      <c r="F15" s="23"/>
      <c r="G15" s="25">
        <f>SUM(G6:G14)</f>
        <v>0</v>
      </c>
    </row>
    <row r="17" ht="24.0" customHeight="1">
      <c r="A17" s="5" t="s">
        <v>440</v>
      </c>
      <c r="B17" s="2"/>
      <c r="C17" s="2"/>
      <c r="D17" s="2"/>
      <c r="E17" s="2"/>
      <c r="F17" s="2"/>
      <c r="G17" s="3"/>
    </row>
    <row r="18" ht="30.0" customHeight="1">
      <c r="A18" s="9" t="s">
        <v>441</v>
      </c>
      <c r="B18" s="9" t="s">
        <v>442</v>
      </c>
      <c r="C18" s="9" t="s">
        <v>443</v>
      </c>
      <c r="D18" s="9"/>
      <c r="E18" s="9"/>
      <c r="F18" s="9"/>
      <c r="G18" s="9"/>
    </row>
    <row r="19" ht="19.5" customHeight="1">
      <c r="A19" s="26" t="s">
        <v>444</v>
      </c>
      <c r="B19" s="12" t="s">
        <v>445</v>
      </c>
      <c r="C19" s="13" t="s">
        <v>446</v>
      </c>
      <c r="D19" s="7"/>
      <c r="E19" s="7"/>
      <c r="F19" s="7"/>
      <c r="G19" s="7"/>
    </row>
    <row r="20" ht="19.5" customHeight="1">
      <c r="A20" s="26" t="s">
        <v>447</v>
      </c>
      <c r="B20" s="12" t="s">
        <v>448</v>
      </c>
      <c r="C20" s="13" t="s">
        <v>449</v>
      </c>
      <c r="D20" s="7"/>
      <c r="E20" s="7"/>
      <c r="F20" s="7"/>
      <c r="G20" s="7"/>
    </row>
    <row r="21" ht="19.5" customHeight="1">
      <c r="A21" s="26" t="s">
        <v>450</v>
      </c>
      <c r="B21" s="12" t="s">
        <v>451</v>
      </c>
      <c r="C21" s="13" t="s">
        <v>452</v>
      </c>
      <c r="D21" s="7"/>
      <c r="E21" s="7"/>
      <c r="F21" s="7"/>
      <c r="G21" s="7"/>
    </row>
    <row r="22" ht="31.5" customHeight="1">
      <c r="A22" s="26" t="s">
        <v>453</v>
      </c>
      <c r="B22" s="12" t="s">
        <v>454</v>
      </c>
      <c r="C22" s="13" t="s">
        <v>455</v>
      </c>
      <c r="D22" s="7"/>
      <c r="E22" s="7"/>
      <c r="F22" s="7"/>
      <c r="G22" s="7"/>
    </row>
    <row r="23" ht="19.5" customHeight="1">
      <c r="A23" s="26" t="s">
        <v>456</v>
      </c>
      <c r="B23" s="12" t="s">
        <v>457</v>
      </c>
      <c r="C23" s="13" t="s">
        <v>458</v>
      </c>
      <c r="D23" s="7"/>
      <c r="E23" s="7"/>
      <c r="F23" s="7"/>
      <c r="G23" s="7"/>
    </row>
    <row r="24" ht="19.5" customHeight="1">
      <c r="A24" s="26" t="s">
        <v>459</v>
      </c>
      <c r="B24" s="12" t="s">
        <v>460</v>
      </c>
      <c r="C24" s="13" t="s">
        <v>461</v>
      </c>
      <c r="D24" s="7"/>
      <c r="E24" s="7"/>
      <c r="F24" s="7"/>
      <c r="G24" s="7"/>
    </row>
    <row r="25" ht="15.75" customHeight="1"/>
    <row r="26" ht="24.0" customHeight="1">
      <c r="A26" s="5" t="s">
        <v>462</v>
      </c>
      <c r="B26" s="2"/>
      <c r="C26" s="2"/>
      <c r="D26" s="2"/>
      <c r="E26" s="2"/>
      <c r="F26" s="2"/>
      <c r="G26" s="3"/>
    </row>
    <row r="27" ht="57.75" customHeight="1">
      <c r="A27" s="6" t="s">
        <v>463</v>
      </c>
      <c r="B27" s="7"/>
      <c r="C27" s="7"/>
      <c r="D27" s="7"/>
      <c r="E27" s="7"/>
      <c r="F27" s="7"/>
      <c r="G27" s="8"/>
    </row>
    <row r="28" ht="15.75" customHeight="1"/>
    <row r="29" ht="24.0" customHeight="1">
      <c r="A29" s="27" t="s">
        <v>464</v>
      </c>
      <c r="B29" s="2"/>
      <c r="C29" s="2"/>
      <c r="D29" s="2"/>
      <c r="E29" s="2"/>
      <c r="F29" s="2"/>
      <c r="G29" s="3"/>
    </row>
    <row r="30" ht="30.0" customHeight="1">
      <c r="A30" s="9" t="s">
        <v>381</v>
      </c>
      <c r="B30" s="9" t="s">
        <v>465</v>
      </c>
      <c r="C30" s="9" t="s">
        <v>466</v>
      </c>
      <c r="D30" s="9"/>
      <c r="E30" s="9"/>
      <c r="F30" s="9"/>
      <c r="G30" s="9"/>
    </row>
    <row r="31" ht="31.5" customHeight="1">
      <c r="A31" s="26">
        <v>1.0</v>
      </c>
      <c r="B31" s="28" t="s">
        <v>467</v>
      </c>
      <c r="C31" s="13" t="s">
        <v>468</v>
      </c>
      <c r="D31" s="7"/>
      <c r="E31" s="7"/>
      <c r="F31" s="7"/>
      <c r="G31" s="7"/>
    </row>
    <row r="32" ht="31.5" customHeight="1">
      <c r="A32" s="26">
        <v>2.0</v>
      </c>
      <c r="B32" s="28" t="s">
        <v>469</v>
      </c>
      <c r="C32" s="13" t="s">
        <v>470</v>
      </c>
      <c r="D32" s="7"/>
      <c r="E32" s="7"/>
      <c r="F32" s="7"/>
      <c r="G32" s="7"/>
    </row>
    <row r="33" ht="31.5" customHeight="1">
      <c r="A33" s="26">
        <v>3.0</v>
      </c>
      <c r="B33" s="28" t="s">
        <v>471</v>
      </c>
      <c r="C33" s="13" t="s">
        <v>472</v>
      </c>
      <c r="D33" s="7"/>
      <c r="E33" s="7"/>
      <c r="F33" s="7"/>
      <c r="G33" s="7"/>
    </row>
    <row r="34" ht="31.5" customHeight="1">
      <c r="A34" s="26">
        <v>4.0</v>
      </c>
      <c r="B34" s="28" t="s">
        <v>473</v>
      </c>
      <c r="C34" s="13" t="s">
        <v>474</v>
      </c>
      <c r="D34" s="7"/>
      <c r="E34" s="7"/>
      <c r="F34" s="7"/>
      <c r="G34" s="7"/>
    </row>
    <row r="35" ht="31.5" customHeight="1">
      <c r="A35" s="26">
        <v>5.0</v>
      </c>
      <c r="B35" s="28" t="s">
        <v>475</v>
      </c>
      <c r="C35" s="13" t="s">
        <v>476</v>
      </c>
      <c r="D35" s="7"/>
      <c r="E35" s="7"/>
      <c r="F35" s="7"/>
      <c r="G35" s="7"/>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2"/>
    <mergeCell ref="A4:G4"/>
    <mergeCell ref="A17:G17"/>
    <mergeCell ref="C19:G19"/>
    <mergeCell ref="C20:G20"/>
    <mergeCell ref="C21:G21"/>
    <mergeCell ref="C32:G32"/>
    <mergeCell ref="C33:G33"/>
    <mergeCell ref="C34:G34"/>
    <mergeCell ref="C35:G35"/>
    <mergeCell ref="C22:G22"/>
    <mergeCell ref="C23:G23"/>
    <mergeCell ref="C24:G24"/>
    <mergeCell ref="A26:G26"/>
    <mergeCell ref="A27:G27"/>
    <mergeCell ref="A29:G29"/>
    <mergeCell ref="C31:G31"/>
  </mergeCells>
  <printOptions/>
  <pageMargins bottom="1.0" footer="0.0" header="0.0" left="0.75" right="0.75" top="1.0"/>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2.0"/>
    <col customWidth="1" min="3" max="3" width="84.0"/>
    <col customWidth="1" min="4" max="26" width="8.71"/>
  </cols>
  <sheetData>
    <row r="1" ht="31.5" customHeight="1">
      <c r="A1" s="1" t="s">
        <v>334</v>
      </c>
      <c r="B1" s="2"/>
      <c r="C1" s="3"/>
    </row>
    <row r="2" ht="25.5" customHeight="1">
      <c r="A2" s="4" t="s">
        <v>336</v>
      </c>
      <c r="B2" s="2"/>
      <c r="C2" s="3"/>
    </row>
    <row r="4" ht="30.0" customHeight="1">
      <c r="A4" s="9" t="s">
        <v>339</v>
      </c>
      <c r="B4" s="9" t="s">
        <v>340</v>
      </c>
      <c r="C4" s="9" t="s">
        <v>341</v>
      </c>
    </row>
    <row r="5" ht="31.5" customHeight="1">
      <c r="A5" s="12" t="s">
        <v>343</v>
      </c>
      <c r="B5" s="15" t="s">
        <v>346</v>
      </c>
      <c r="C5" s="14" t="s">
        <v>348</v>
      </c>
    </row>
    <row r="6" ht="31.5" customHeight="1">
      <c r="A6" s="12" t="s">
        <v>351</v>
      </c>
      <c r="B6" s="15" t="s">
        <v>346</v>
      </c>
      <c r="C6" s="14" t="s">
        <v>353</v>
      </c>
    </row>
    <row r="7" ht="31.5" customHeight="1">
      <c r="A7" s="12" t="s">
        <v>355</v>
      </c>
      <c r="B7" s="15" t="s">
        <v>346</v>
      </c>
      <c r="C7" s="14" t="s">
        <v>358</v>
      </c>
    </row>
    <row r="8" ht="31.5" customHeight="1">
      <c r="A8" s="12" t="s">
        <v>359</v>
      </c>
      <c r="B8" s="15" t="s">
        <v>346</v>
      </c>
      <c r="C8" s="14" t="s">
        <v>361</v>
      </c>
    </row>
    <row r="9" ht="31.5" customHeight="1">
      <c r="A9" s="12" t="s">
        <v>363</v>
      </c>
      <c r="B9" s="15" t="s">
        <v>346</v>
      </c>
      <c r="C9" s="14" t="s">
        <v>365</v>
      </c>
    </row>
    <row r="10" ht="31.5" customHeight="1">
      <c r="A10" s="12" t="s">
        <v>368</v>
      </c>
      <c r="B10" s="15" t="s">
        <v>346</v>
      </c>
      <c r="C10" s="14" t="s">
        <v>370</v>
      </c>
    </row>
    <row r="11" ht="31.5" customHeight="1">
      <c r="A11" s="12" t="s">
        <v>372</v>
      </c>
      <c r="B11" s="15" t="s">
        <v>346</v>
      </c>
      <c r="C11" s="14" t="s">
        <v>373</v>
      </c>
    </row>
    <row r="12" ht="31.5" customHeight="1">
      <c r="A12" s="12" t="s">
        <v>374</v>
      </c>
      <c r="B12" s="15" t="s">
        <v>346</v>
      </c>
      <c r="C12" s="14" t="s">
        <v>375</v>
      </c>
    </row>
    <row r="13" ht="31.5" customHeight="1">
      <c r="A13" s="12" t="s">
        <v>377</v>
      </c>
      <c r="B13" s="15" t="s">
        <v>346</v>
      </c>
      <c r="C13" s="14" t="s">
        <v>379</v>
      </c>
    </row>
    <row r="14" ht="19.5" customHeight="1">
      <c r="A14" s="12" t="s">
        <v>382</v>
      </c>
      <c r="B14" s="18" t="s">
        <v>387</v>
      </c>
      <c r="C14" s="14" t="s">
        <v>400</v>
      </c>
    </row>
    <row r="15" ht="19.5" customHeight="1">
      <c r="A15" s="12" t="s">
        <v>402</v>
      </c>
      <c r="B15" s="18" t="s">
        <v>387</v>
      </c>
      <c r="C15" s="14" t="s">
        <v>404</v>
      </c>
    </row>
    <row r="16" ht="31.5" customHeight="1">
      <c r="A16" s="12" t="s">
        <v>405</v>
      </c>
      <c r="B16" s="18" t="s">
        <v>387</v>
      </c>
      <c r="C16" s="14" t="s">
        <v>407</v>
      </c>
    </row>
    <row r="18" ht="45.0" customHeight="1">
      <c r="A18" s="17" t="s">
        <v>410</v>
      </c>
      <c r="B18" s="7"/>
      <c r="C18"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18:C18"/>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6.0"/>
    <col customWidth="1" min="2" max="3" width="56.0"/>
    <col customWidth="1" min="4" max="26" width="8.71"/>
  </cols>
  <sheetData>
    <row r="1" ht="31.5" customHeight="1">
      <c r="A1" s="1" t="s">
        <v>335</v>
      </c>
      <c r="B1" s="2"/>
      <c r="C1" s="3"/>
    </row>
    <row r="2" ht="31.5" customHeight="1">
      <c r="A2" s="4" t="s">
        <v>338</v>
      </c>
      <c r="B2" s="2"/>
      <c r="C2" s="3"/>
    </row>
    <row r="4" ht="30.0" customHeight="1">
      <c r="A4" s="9" t="s">
        <v>342</v>
      </c>
      <c r="B4" s="9" t="s">
        <v>344</v>
      </c>
      <c r="C4" s="9" t="s">
        <v>345</v>
      </c>
    </row>
    <row r="5" ht="57.75" customHeight="1">
      <c r="A5" s="12" t="s">
        <v>347</v>
      </c>
      <c r="B5" s="14" t="s">
        <v>349</v>
      </c>
      <c r="C5" s="14" t="s">
        <v>352</v>
      </c>
    </row>
    <row r="6" ht="45.0" customHeight="1">
      <c r="A6" s="12" t="s">
        <v>354</v>
      </c>
      <c r="B6" s="14" t="s">
        <v>356</v>
      </c>
      <c r="C6" s="14" t="s">
        <v>357</v>
      </c>
    </row>
    <row r="7" ht="70.5" customHeight="1">
      <c r="A7" s="12" t="s">
        <v>360</v>
      </c>
      <c r="B7" s="14" t="s">
        <v>362</v>
      </c>
      <c r="C7" s="14" t="s">
        <v>364</v>
      </c>
    </row>
    <row r="8" ht="45.0" customHeight="1">
      <c r="A8" s="12" t="s">
        <v>366</v>
      </c>
      <c r="B8" s="14" t="s">
        <v>369</v>
      </c>
      <c r="C8" s="14" t="s">
        <v>371</v>
      </c>
    </row>
    <row r="9" ht="45.0" customHeight="1">
      <c r="A9" s="12" t="s">
        <v>376</v>
      </c>
      <c r="B9" s="14" t="s">
        <v>378</v>
      </c>
      <c r="C9" s="14" t="s">
        <v>380</v>
      </c>
    </row>
    <row r="10" ht="57.75" customHeight="1">
      <c r="A10" s="12" t="s">
        <v>383</v>
      </c>
      <c r="B10" s="14" t="s">
        <v>384</v>
      </c>
      <c r="C10" s="14" t="s">
        <v>385</v>
      </c>
    </row>
    <row r="11" ht="57.75" customHeight="1">
      <c r="A11" s="12" t="s">
        <v>386</v>
      </c>
      <c r="B11" s="14" t="s">
        <v>388</v>
      </c>
      <c r="C11" s="14" t="s">
        <v>389</v>
      </c>
    </row>
    <row r="12" ht="45.0" customHeight="1">
      <c r="A12" s="12" t="s">
        <v>390</v>
      </c>
      <c r="B12" s="14" t="s">
        <v>391</v>
      </c>
      <c r="C12" s="14" t="s">
        <v>392</v>
      </c>
    </row>
    <row r="13" ht="31.5" customHeight="1">
      <c r="A13" s="12" t="s">
        <v>393</v>
      </c>
      <c r="B13" s="14" t="s">
        <v>394</v>
      </c>
      <c r="C13" s="14" t="s">
        <v>395</v>
      </c>
    </row>
    <row r="14" ht="45.0" customHeight="1">
      <c r="A14" s="12" t="s">
        <v>396</v>
      </c>
      <c r="B14" s="14" t="s">
        <v>397</v>
      </c>
      <c r="C14" s="14" t="s">
        <v>398</v>
      </c>
    </row>
    <row r="16" ht="31.5" customHeight="1">
      <c r="A16" s="17" t="s">
        <v>401</v>
      </c>
      <c r="B16" s="7"/>
      <c r="C16"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16:C16"/>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2026-08-18T07:28:05Z</dcterms:created>
  <dc:creator>openpyxl</dc:creator>
</cp:coreProperties>
</file>

<file path=docProps/custom.xml><?xml version="1.0" encoding="utf-8"?>
<Properties xmlns="http://schemas.openxmlformats.org/officeDocument/2006/custom-properties" xmlns:vt="http://schemas.openxmlformats.org/officeDocument/2006/docPropsVTypes"/>
</file>